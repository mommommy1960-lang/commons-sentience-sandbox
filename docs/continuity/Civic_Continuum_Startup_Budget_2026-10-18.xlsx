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33ca4fc6904c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2cb8ae70b2f34eb7"/>
    <x:sheet xmlns:r="http://schemas.openxmlformats.org/officeDocument/2006/relationships" name="Cost register" sheetId="2" r:id="R6af89f882e2248f1"/>
    <x:sheet xmlns:r="http://schemas.openxmlformats.org/officeDocument/2006/relationships" name="Pay today" sheetId="3" r:id="Reae23eeab3d14fd7"/>
    <x:sheet xmlns:r="http://schemas.openxmlformats.org/officeDocument/2006/relationships" name="Help with costs" sheetId="4" r:id="R7375172ae86646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;($#,##0.00);&quot;$0.00&quot;"/>
    <x:numFmt numFmtId="201" formatCode="$#,##0.00"/>
  </x:numFmts>
  <x:fonts count="6">
    <x:font>
      <x:sz val="11"/>
      <x:name val="Carlito"/>
    </x:font>
    <x:font>
      <x:sz val="11"/>
      <x:color rgb="FF18253B"/>
      <x:name val="Arial"/>
    </x:font>
    <x:font>
      <x:b/>
      <x:sz val="16"/>
      <x:color rgb="FF18253B"/>
      <x:name val="Arial"/>
    </x:font>
    <x:font>
      <x:b/>
      <x:sz val="11"/>
      <x:color rgb="FFFFFFFF"/>
      <x:name val="Arial"/>
    </x:font>
    <x:font>
      <x:b/>
      <x:sz val="11"/>
      <x:color rgb="FF18253B"/>
      <x:name val="Arial"/>
    </x:font>
    <x:font>
      <x:sz val="11"/>
      <x:color rgb="FF0000F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243957"/>
      </x:patternFill>
    </x:fill>
    <x:fill>
      <x:patternFill patternType="solid">
        <x:fgColor rgb="FFE4EBF4"/>
      </x:patternFill>
    </x:fill>
    <x:fill>
      <x:patternFill patternType="solid">
        <x:fgColor rgb="FFFFF0CC"/>
      </x:patternFill>
    </x:fill>
    <x:fill>
      <x:patternFill patternType="solid">
        <x:fgColor rgb="FFFFF7DC"/>
      </x:patternFill>
    </x:fill>
    <x:fill>
      <x:patternFill patternType="solid">
        <x:fgColor rgb="FF243957"/>
      </x:patternFill>
    </x:fill>
    <x:fill>
      <x:patternFill patternType="solid">
        <x:fgColor rgb="FFFFF7DC"/>
      </x:patternFill>
    </x:fill>
    <x:fill>
      <x:patternFill patternType="solid">
        <x:fgColor rgb="FF24395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0" borderId="0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200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/>
    <x:xf numFmtId="0" fontId="5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200" fontId="5" fillId="7" borderId="0" xfId="0" applyNumberFormat="1" applyFont="1" applyFill="1" applyBorder="1"/>
    <x:xf numFmtId="201" fontId="5" fillId="7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A51C30"/>
      </x:font>
      <x:fill>
        <x:patternFill>
          <x:bgColor rgb="FFFDE1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dee70694d84401" /><Relationship Type="http://schemas.openxmlformats.org/officeDocument/2006/relationships/theme" Target="/xl/theme/theme1.xml" Id="Rb3b37567692641d0" /><Relationship Type="http://schemas.openxmlformats.org/officeDocument/2006/relationships/sharedStrings" Target="/xl/sharedStrings.xml" Id="Rdfea33ce515d40f3" /><Relationship Type="http://schemas.openxmlformats.org/officeDocument/2006/relationships/worksheet" Target="/xl/worksheets/sheet1.xml" Id="R2cb8ae70b2f34eb7" /><Relationship Type="http://schemas.openxmlformats.org/officeDocument/2006/relationships/worksheet" Target="/xl/worksheets/sheet2.xml" Id="R6af89f882e2248f1" /><Relationship Type="http://schemas.openxmlformats.org/officeDocument/2006/relationships/worksheet" Target="/xl/worksheets/sheet3.xml" Id="Reae23eeab3d14fd7" /><Relationship Type="http://schemas.openxmlformats.org/officeDocument/2006/relationships/worksheet" Target="/xl/worksheets/sheet4.xml" Id="R7375172ae86646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957"/>
  </x:sheetPr>
  <x:sheetViews>
    <x:sheetView showGridLines="0" workbookViewId="0"/>
  </x:sheetViews>
  <x:sheetFormatPr defaultRowHeight="15"/>
  <x:cols>
    <x:col min="1" max="1" width="65" hidden="0" customWidth="1"/>
    <x:col min="2" max="2" width="23" hidden="0" customWidth="1"/>
    <x:col min="3" max="3" width="2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2" t="str">
        <x:v>Civic Continuum remaining startup budget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38" customHeight="1">
      <x:c r="A3" s="3" t="str">
        <x:v>October 18, 2026 | USD | Sole proprietor, one Seattle location, no covered workers assumed</x:v>
      </x:c>
      <x:c r="B3" s="3"/>
      <x:c r="C3" s="3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34" customHeight="1">
      <x:c r="A5" s="6" t="str">
        <x:v>Initial fees and 12-month allowances</x:v>
      </x:c>
      <x:c r="B5" s="6" t="str">
        <x:v>Lower amount</x:v>
      </x:c>
      <x:c r="C5" s="6" t="str">
        <x:v>Upper amount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0" customHeight="1">
      <x:c r="A6" s="1" t="str">
        <x:v>Government opening fees only</x:v>
      </x:c>
      <x:c r="B6" s="8" t="n">
        <x:f>'Cost register'!H42</x:f>
        <x:v>91.5</x:v>
      </x:c>
      <x:c r="C6" s="8" t="n">
        <x:f>'Cost register'!I42</x:f>
        <x:v>128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</x:row>
    <x:row r="7" ht="30" customHeight="1">
      <x:c r="A7" s="1" t="str">
        <x:v>Remaining internal allowances — NOT QUOTES</x:v>
      </x:c>
      <x:c r="B7" s="8" t="n">
        <x:f>'Cost register'!H43</x:f>
        <x:v>2800</x:v>
      </x:c>
      <x:c r="C7" s="8" t="n">
        <x:f>'Cost register'!I43</x:f>
        <x:v>9500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</x:row>
    <x:row r="8" ht="30" customHeight="1">
      <x:c r="A8" s="12" t="str">
        <x:v>Defined remaining-budget subtotal</x:v>
      </x:c>
      <x:c r="B8" s="13" t="n">
        <x:f>'Cost register'!H44</x:f>
        <x:v>2891.5</x:v>
      </x:c>
      <x:c r="C8" s="13" t="n">
        <x:f>'Cost register'!I44</x:f>
        <x:v>9628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</x:row>
    <x:row r="9" ht="30" customHeight="1">
      <x:c r="A9" s="1" t="str">
        <x:v>Optional online LLC formation, additional</x:v>
      </x:c>
      <x:c r="B9" s="8" t="n">
        <x:f>'Cost register'!E14</x:f>
        <x:v>200</x:v>
      </x:c>
      <x:c r="C9" s="8" t="n">
        <x:f>'Cost register'!F14</x:f>
        <x:v>200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30" customHeight="1">
      <x:c r="A10" s="1" t="str">
        <x:v>Remaining budget with optional LLC</x:v>
      </x:c>
      <x:c r="B10" s="8" t="n">
        <x:f>'Cost register'!H45</x:f>
        <x:v>3091.5</x:v>
      </x:c>
      <x:c r="C10" s="8" t="n">
        <x:f>'Cost register'!I45</x:f>
        <x:v>9828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</x:row>
    <x:row r="11" ht="30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</x:row>
    <x:row r="12" ht="30" customHeight="1">
      <x:c r="A12" s="15" t="str">
        <x:v>Actual amount owed / full compliance cost</x:v>
      </x:c>
      <x:c r="B12" s="15" t="str">
        <x:v>NOT DETERMINED</x:v>
      </x:c>
      <x:c r="C12" s="15" t="str">
        <x:v>NOT DETERMINED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</x:row>
    <x:row r="14" ht="36" customHeight="1">
      <x:c r="A14" s="3" t="str">
        <x:v>Allowances are editable internal targets. No vendor quotes, invoices, insurance policies or spending commitments established.</x:v>
      </x:c>
      <x:c r="B14" s="3"/>
      <x:c r="C14" s="3"/>
      <x:c r="D14" s="1"/>
      <x:c r="E14" s="1"/>
      <x:c r="F14" s="1"/>
      <x:c r="G14" s="1"/>
      <x:c r="H14" s="1"/>
      <x:c r="I14" s="1"/>
      <x:c r="J14" s="1"/>
      <x:c r="K14" s="1"/>
      <x:c r="L14" s="1"/>
      <x:c r="M14" s="1"/>
    </x:row>
    <x:row r="15" ht="36" customHeight="1">
      <x:c r="A15" s="3" t="str">
        <x:v>Excluded: existing domain purchase, unpriced hosting/renewals, taxes, arrears, payment charges, payroll, IP filings and buyer audits.</x:v>
      </x:c>
      <x:c r="B15" s="3"/>
      <x:c r="C15" s="3"/>
      <x:c r="D15" s="1"/>
      <x:c r="E15" s="1"/>
      <x:c r="F15" s="1"/>
      <x:c r="G15" s="1"/>
      <x:c r="H15" s="1"/>
      <x:c r="I15" s="1"/>
      <x:c r="J15" s="1"/>
      <x:c r="K15" s="1"/>
      <x:c r="L15" s="1"/>
      <x:c r="M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</x:row>
    <x:row r="17" ht="34" customHeight="1">
      <x:c r="A17" s="6" t="str">
        <x:v>Recurring or conditional item</x:v>
      </x:c>
      <x:c r="B17" s="6" t="str">
        <x:v>Known fee / status</x:v>
      </x:c>
      <x:c r="C17" s="6" t="str">
        <x:v>When it applies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</x:row>
    <x:row r="18" ht="34" customHeight="1">
      <x:c r="A18" s="3" t="str">
        <x:v>Seattle renewal</x:v>
      </x:c>
      <x:c r="B18" s="3" t="str">
        <x:v>2027 fee not verified</x:v>
      </x:c>
      <x:c r="C18" s="3" t="str">
        <x:v>Annual, due by December 31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</x:row>
    <x:row r="19" ht="34" customHeight="1">
      <x:c r="A19" s="3" t="str">
        <x:v>WA LLC annual report</x:v>
      </x:c>
      <x:c r="B19" s="9" t="n">
        <x:v>70</x:v>
      </x:c>
      <x:c r="C19" s="3" t="str">
        <x:v>Only if LLC formed; anniversary</x:v>
      </x:c>
      <x:c r="D19" s="1"/>
      <x:c r="E19" s="1"/>
      <x:c r="F19" s="1"/>
      <x:c r="G19" s="1"/>
      <x:c r="H19" s="1"/>
      <x:c r="I19" s="1"/>
      <x:c r="J19" s="1"/>
      <x:c r="K19" s="1"/>
      <x:c r="L19" s="1"/>
      <x:c r="M19" s="1"/>
    </x:row>
    <x:row r="20" ht="34" customHeight="1">
      <x:c r="A20" s="3" t="str">
        <x:v>DOR endorsement renewal processing</x:v>
      </x:c>
      <x:c r="B20" s="9" t="n">
        <x:v>5</x:v>
      </x:c>
      <x:c r="C20" s="3" t="str">
        <x:v>Only when applicable endorsements renew</x:v>
      </x:c>
      <x:c r="D20" s="1"/>
      <x:c r="E20" s="1"/>
      <x:c r="F20" s="1"/>
      <x:c r="G20" s="1"/>
      <x:c r="H20" s="1"/>
      <x:c r="I20" s="1"/>
      <x:c r="J20" s="1"/>
      <x:c r="K20" s="1"/>
      <x:c r="L20" s="1"/>
      <x:c r="M20" s="1"/>
    </x:row>
    <x:row r="21" ht="34" customHeight="1">
      <x:c r="A21" s="3" t="str">
        <x:v>Insurance renewal</x:v>
      </x:c>
      <x:c r="B21" s="3" t="str">
        <x:v>Quote required</x:v>
      </x:c>
      <x:c r="C21" s="3" t="str">
        <x:v>Annual; coverage and premiums may change</x:v>
      </x:c>
      <x:c r="D21" s="1"/>
      <x:c r="E21" s="1"/>
      <x:c r="F21" s="1"/>
      <x:c r="G21" s="1"/>
      <x:c r="H21" s="1"/>
      <x:c r="I21" s="1"/>
      <x:c r="J21" s="1"/>
      <x:c r="K21" s="1"/>
      <x:c r="L21" s="1"/>
      <x:c r="M21" s="1"/>
    </x:row>
    <x:row r="22" ht="34" customHeight="1">
      <x:c r="A22" s="3" t="str">
        <x:v>Taxes / payroll / buyer-specific reviews</x:v>
      </x:c>
      <x:c r="B22" s="3" t="str">
        <x:v>Not priced</x:v>
      </x:c>
      <x:c r="C22" s="3" t="str">
        <x:v>Activity, workforce and contract dependent</x:v>
      </x:c>
      <x:c r="D22" s="1"/>
      <x:c r="E22" s="1"/>
      <x:c r="F22" s="1"/>
      <x:c r="G22" s="1"/>
      <x:c r="H22" s="1"/>
      <x:c r="I22" s="1"/>
      <x:c r="J22" s="1"/>
      <x:c r="K22" s="1"/>
      <x:c r="L22" s="1"/>
      <x:c r="M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</x:row>
    <x:row r="24" ht="36" customHeight="1">
      <x:c r="A24" s="3" t="str">
        <x:v>Already owned: civiccontinuum.org, paid through September 26, 2027. Do not buy again. Renewal price needs a fresh check.</x:v>
      </x:c>
      <x:c r="B24" s="3"/>
      <x:c r="C24" s="3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36" customHeight="1">
      <x:c r="A25" s="3" t="str">
        <x:v>Opening fees still conditional: $55 state/name + $36.50 or $73 city. Check actual start date and existing licenses first.</x:v>
      </x:c>
      <x:c r="B25" s="3"/>
      <x:c r="C25" s="3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36" customHeight="1">
      <x:c r="A26" s="3" t="str">
        <x:v>33 checklist entries are compiled research, not 33 confirmed fees from Juan. Free programs do not guarantee eligibility or awards.</x:v>
      </x:c>
      <x:c r="B26" s="3"/>
      <x:c r="C26" s="3"/>
      <x:c r="D26" s="1"/>
      <x:c r="E26" s="1"/>
      <x:c r="F26" s="1"/>
      <x:c r="G26" s="1"/>
      <x:c r="H26" s="1"/>
      <x:c r="I26" s="1"/>
      <x:c r="J26" s="1"/>
      <x:c r="K26" s="1"/>
      <x:c r="L26" s="1"/>
      <x:c r="M26" s="1"/>
    </x:row>
    <x:row r="27" ht="36" customHeight="1">
      <x:c r="A27" s="3" t="str">
        <x:v>Registration is only one part of readiness. No payment, policy or certification guarantees complete protection or customer acceptance.</x:v>
      </x:c>
      <x:c r="B27" s="3"/>
      <x:c r="C27" s="3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 ht="36" customHeight="1">
      <x:c r="A28" s="3" t="str">
        <x:v>Use Pay today with business-designated funds. All fields start blank or unverified; this template authorizes no spending.</x:v>
      </x:c>
      <x:c r="B28" s="3"/>
      <x:c r="C28" s="3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38" customHeight="1">
      <x:c r="A30" s="3" t="str">
        <x:v>See Help with costs: free legal/accounting routes, existing coaches and competitive grants. No pending benefit deducted.</x:v>
      </x:c>
      <x:c r="B30" s="3"/>
      <x:c r="C30" s="3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</x:row>
  </x:sheetData>
  <x:mergeCells>
    <x:mergeCell ref="A3:C3"/>
    <x:mergeCell ref="A14:C14"/>
    <x:mergeCell ref="A15:C15"/>
    <x:mergeCell ref="A24:C24"/>
    <x:mergeCell ref="A25:C25"/>
    <x:mergeCell ref="A26:C26"/>
    <x:mergeCell ref="A27:C27"/>
    <x:mergeCell ref="A28:C28"/>
    <x:mergeCell ref="A30:C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3957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" hidden="0" customWidth="1"/>
    <x:col min="2" max="2" width="39" hidden="0" customWidth="1"/>
    <x:col min="3" max="3" width="17" hidden="0" customWidth="1"/>
    <x:col min="4" max="4" width="17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3" hidden="0" customWidth="1"/>
    <x:col min="11" max="11" width="25" hidden="0" customWidth="1"/>
    <x:col min="12" max="12" width="85" hidden="0" customWidth="1"/>
    <x:col min="13" max="13" width="85" hidden="0" customWidth="1"/>
    <x:col min="14" max="14" width="5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2" t="str">
        <x:v>Itemized costs and applicability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34" customHeight="1">
      <x:c r="A3" s="3" t="str">
        <x:v>Blue numbers are editable inputs. Include: 1 counts in budget, 0 excludes. Blank prices mean unconfirmed, not free.</x:v>
      </x:c>
      <x:c r="B3" s="3"/>
      <x:c r="C3" s="3"/>
      <x:c r="D3" s="3"/>
      <x:c r="E3" s="3"/>
      <x:c r="F3" s="3"/>
      <x:c r="G3" s="3"/>
      <x:c r="H3" s="3"/>
      <x:c r="I3" s="3"/>
      <x:c r="J3" s="1"/>
      <x:c r="K3" s="1"/>
      <x:c r="L3" s="1"/>
      <x:c r="M3" s="1"/>
    </x:row>
    <x:row r="4" ht="32" customHeight="1">
      <x:c r="A4" s="3" t="str">
        <x:v>Government fees verified October 18, 2026. Reserve amounts are internal allowances, not observed market quotes.</x:v>
      </x:c>
      <x:c r="B4" s="3"/>
      <x:c r="C4" s="3"/>
      <x:c r="D4" s="3"/>
      <x:c r="E4" s="3"/>
      <x:c r="F4" s="3"/>
      <x:c r="G4" s="3"/>
      <x:c r="H4" s="3"/>
      <x:c r="I4" s="3"/>
      <x:c r="J4" s="1"/>
      <x:c r="K4" s="1"/>
      <x:c r="L4" s="1"/>
      <x:c r="M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6" customHeight="1">
      <x:c r="A6" s="6" t="str">
        <x:v>ID</x:v>
      </x:c>
      <x:c r="B6" s="6" t="str">
        <x:v>Item</x:v>
      </x:c>
      <x:c r="C6" s="6" t="str">
        <x:v>Cost type</x:v>
      </x:c>
      <x:c r="D6" s="6" t="str">
        <x:v>Timing</x:v>
      </x:c>
      <x:c r="E6" s="6" t="str">
        <x:v>Lower USD</x:v>
      </x:c>
      <x:c r="F6" s="6" t="str">
        <x:v>Upper USD</x:v>
      </x:c>
      <x:c r="G6" s="6" t="str">
        <x:v>Include 1/0</x:v>
      </x:c>
      <x:c r="H6" s="6" t="str">
        <x:v>Counted lower</x:v>
      </x:c>
      <x:c r="I6" s="6" t="str">
        <x:v>Counted upper</x:v>
      </x:c>
      <x:c r="J6" s="1"/>
      <x:c r="K6" s="6" t="str">
        <x:v>Status</x:v>
      </x:c>
      <x:c r="L6" s="6" t="str">
        <x:v>Applicability and limits</x:v>
      </x:c>
      <x:c r="M6" s="6" t="str">
        <x:v>Source / checked 2026-10-18</x:v>
      </x:c>
      <x:c r="N6" s="34" t="str">
        <x:v>Help to check before paying</x:v>
      </x:c>
    </x:row>
    <x:row r="7" ht="100" customHeight="1">
      <x:c r="A7" s="19" t="n">
        <x:v>1</x:v>
      </x:c>
      <x:c r="B7" s="19" t="str">
        <x:v>IRS EIN</x:v>
      </x:c>
      <x:c r="C7" s="19" t="str">
        <x:v>Free</x:v>
      </x:c>
      <x:c r="D7" s="19" t="str">
        <x:v>Already obtained</x:v>
      </x:c>
      <x:c r="E7" s="20" t="n">
        <x:v>0</x:v>
      </x:c>
      <x:c r="F7" s="20" t="n">
        <x:v>0</x:v>
      </x:c>
      <x:c r="G7" s="21" t="n">
        <x:v>0</x:v>
      </x:c>
      <x:c r="H7" s="22" t="n">
        <x:f>IF(G7=0,0,IF(ISNUMBER(E7),E7,"Unpriced"))</x:f>
        <x:v>0</x:v>
      </x:c>
      <x:c r="I7" s="22" t="n">
        <x:f>IF(G7=0,0,IF(ISNUMBER(F7),F7,"Unpriced"))</x:f>
        <x:v>0</x:v>
      </x:c>
      <x:c r="J7" s="23"/>
      <x:c r="K7" s="19" t="str">
        <x:v>No additional fee</x:v>
      </x:c>
      <x:c r="L7" s="19" t="str">
        <x:v>Existing sole-proprietor EIN recorded; do not publish its number or purchase another EIN.</x:v>
      </x:c>
      <x:c r="M7" s="19" t="str">
        <x:v>https://www.irs.gov/businesses/small-businesses-self-employed/get-an-employer-identification-number</x:v>
      </x:c>
      <x:c r="N7" s="36" t="str">
        <x:v>Existing EIN; no paid provider needed.</x:v>
      </x:c>
    </x:row>
    <x:row r="8" ht="100" customHeight="1">
      <x:c r="A8" s="19" t="n">
        <x:v>2</x:v>
      </x:c>
      <x:c r="B8" s="19" t="str">
        <x:v>WA Business License Application</x:v>
      </x:c>
      <x:c r="C8" s="19" t="str">
        <x:v>Government</x:v>
      </x:c>
      <x:c r="D8" s="19" t="str">
        <x:v>Opening</x:v>
      </x:c>
      <x:c r="E8" s="20" t="n">
        <x:v>50</x:v>
      </x:c>
      <x:c r="F8" s="20" t="n">
        <x:v>50</x:v>
      </x:c>
      <x:c r="G8" s="21" t="n">
        <x:v>1</x:v>
      </x:c>
      <x:c r="H8" s="22" t="n">
        <x:f>IF(G8=0,0,IF(ISNUMBER(E8),E8,"Unpriced"))</x:f>
        <x:v>50</x:v>
      </x:c>
      <x:c r="I8" s="22" t="n">
        <x:f>IF(G8=0,0,IF(ISNUMBER(F8),F8,"Unpriced"))</x:f>
        <x:v>50</x:v>
      </x:c>
      <x:c r="J8" s="23"/>
      <x:c r="K8" s="19" t="str">
        <x:v>Verify prior filing</x:v>
      </x:c>
      <x:c r="L8" s="19" t="str">
        <x:v>One $50 first-location opening application, not one fee per invention. Existing active business updates may use different processing fees.</x:v>
      </x:c>
      <x:c r="M8" s="19" t="str">
        <x:v>https://dor.wa.gov/open-business/apply-business-license/variable-business-license-processing-fees</x:v>
      </x:c>
      <x:c r="N8" s="36" t="str">
        <x:v>Juan/SBDC and Lynette/BINW: confirm sequence and fee-assistance referrals. No fee grant verified.</x:v>
      </x:c>
    </x:row>
    <x:row r="9" ht="100" customHeight="1">
      <x:c r="A9" s="19" t="n">
        <x:v>3</x:v>
      </x:c>
      <x:c r="B9" s="19" t="str">
        <x:v>UBI and DOR tax registration</x:v>
      </x:c>
      <x:c r="C9" s="19" t="str">
        <x:v>Free</x:v>
      </x:c>
      <x:c r="D9" s="19" t="str">
        <x:v>Opening</x:v>
      </x:c>
      <x:c r="E9" s="20" t="n">
        <x:v>0</x:v>
      </x:c>
      <x:c r="F9" s="20" t="n">
        <x:v>0</x:v>
      </x:c>
      <x:c r="G9" s="21" t="n">
        <x:v>0</x:v>
      </x:c>
      <x:c r="H9" s="22" t="n">
        <x:f>IF(G9=0,0,IF(ISNUMBER(E9),E9,"Unpriced"))</x:f>
        <x:v>0</x:v>
      </x:c>
      <x:c r="I9" s="22" t="n">
        <x:f>IF(G9=0,0,IF(ISNUMBER(F9),F9,"Unpriced"))</x:f>
        <x:v>0</x:v>
      </x:c>
      <x:c r="J9" s="23"/>
      <x:c r="K9" s="19" t="str">
        <x:v>Included process</x:v>
      </x:c>
      <x:c r="L9" s="19" t="str">
        <x:v>No separate UBI purchase. Tax registration endorsement is $0; application fee is row 2.</x:v>
      </x:c>
      <x:c r="M9" s="19" t="str">
        <x:v>https://dor.wa.gov/open-business/business-licensing-and-renewals-faqs</x:v>
      </x:c>
      <x:c r="N9" s="36" t="str">
        <x:v>UBI is part of state process, not a separate paid service.</x:v>
      </x:c>
    </x:row>
    <x:row r="10" ht="100" customHeight="1">
      <x:c r="A10" s="19" t="n">
        <x:v>4</x:v>
      </x:c>
      <x:c r="B10" s="19" t="str">
        <x:v>Civic Continuum DBA / trade name</x:v>
      </x:c>
      <x:c r="C10" s="19" t="str">
        <x:v>Government</x:v>
      </x:c>
      <x:c r="D10" s="19" t="str">
        <x:v>Opening</x:v>
      </x:c>
      <x:c r="E10" s="20" t="n">
        <x:v>5</x:v>
      </x:c>
      <x:c r="F10" s="20" t="n">
        <x:v>5</x:v>
      </x:c>
      <x:c r="G10" s="21" t="n">
        <x:v>1</x:v>
      </x:c>
      <x:c r="H10" s="22" t="n">
        <x:f>IF(G10=0,0,IF(ISNUMBER(E10),E10,"Unpriced"))</x:f>
        <x:v>5</x:v>
      </x:c>
      <x:c r="I10" s="22" t="n">
        <x:f>IF(G10=0,0,IF(ISNUMBER(F10),F10,"Unpriced"))</x:f>
        <x:v>5</x:v>
      </x:c>
      <x:c r="J10" s="23"/>
      <x:c r="K10" s="19" t="str">
        <x:v>Verify prior registration</x:v>
      </x:c>
      <x:c r="L10" s="19" t="str">
        <x:v>One trade name in the opening application. Trade name registration is not exclusive trademark protection.</x:v>
      </x:c>
      <x:c r="M10" s="19" t="str">
        <x:v>https://dor.wa.gov/manage-business/grow-business/register-trade-names</x:v>
      </x:c>
      <x:c r="N10" s="36" t="str">
        <x:v>Juan/SBDC: verify existing trade name before paying again.</x:v>
      </x:c>
    </x:row>
    <x:row r="11" ht="100" customHeight="1">
      <x:c r="A11" s="19" t="n">
        <x:v>5</x:v>
      </x:c>
      <x:c r="B11" s="19" t="str">
        <x:v>Additional trading names</x:v>
      </x:c>
      <x:c r="C11" s="19" t="str">
        <x:v>Optional</x:v>
      </x:c>
      <x:c r="D11" s="19" t="str">
        <x:v>When used</x:v>
      </x:c>
      <x:c r="E11" s="20" t="n">
        <x:v>5</x:v>
      </x:c>
      <x:c r="F11" s="20" t="n">
        <x:v>5</x:v>
      </x:c>
      <x:c r="G11" s="21" t="n">
        <x:v>0</x:v>
      </x:c>
      <x:c r="H11" s="22" t="n">
        <x:f>IF(G11=0,0,IF(ISNUMBER(E11),E11,"Unpriced"))</x:f>
        <x:v>0</x:v>
      </x:c>
      <x:c r="I11" s="22" t="n">
        <x:f>IF(G11=0,0,IF(ISNUMBER(F11),F11,"Unpriced"))</x:f>
        <x:v>0</x:v>
      </x:c>
      <x:c r="J11" s="23"/>
      <x:c r="K11" s="19" t="str">
        <x:v>Per additional name</x:v>
      </x:c>
      <x:c r="L11" s="19" t="str">
        <x:v>$5 each if actually used as a business name. Do not register all invention titles automatically. Later applications may also have a processing fee.</x:v>
      </x:c>
      <x:c r="M11" s="19" t="str">
        <x:v>https://dor.wa.gov/manage-business/grow-business/register-trade-names</x:v>
      </x:c>
      <x:c r="N11" s="36" t="str">
        <x:v>Register only real trading names; free adviser can help scope.</x:v>
      </x:c>
    </x:row>
    <x:row r="12" ht="100" customHeight="1">
      <x:c r="A12" s="19" t="n">
        <x:v>6</x:v>
      </x:c>
      <x:c r="B12" s="19" t="str">
        <x:v>Seattle business license certificate</x:v>
      </x:c>
      <x:c r="C12" s="19" t="str">
        <x:v>Government</x:v>
      </x:c>
      <x:c r="D12" s="19" t="str">
        <x:v>2026 first year</x:v>
      </x:c>
      <x:c r="E12" s="20" t="n">
        <x:v>36.5</x:v>
      </x:c>
      <x:c r="F12" s="20" t="n">
        <x:v>73</x:v>
      </x:c>
      <x:c r="G12" s="21" t="n">
        <x:v>1</x:v>
      </x:c>
      <x:c r="H12" s="22" t="n">
        <x:f>IF(G12=0,0,IF(ISNUMBER(E12),E12,"Unpriced"))</x:f>
        <x:v>36.5</x:v>
      </x:c>
      <x:c r="I12" s="22" t="n">
        <x:f>IF(G12=0,0,IF(ISNUMBER(F12),F12,"Unpriced"))</x:f>
        <x:v>73</x:v>
      </x:c>
      <x:c r="J12" s="23"/>
      <x:c r="K12" s="19" t="str">
        <x:v>Start date must qualify</x:v>
      </x:c>
      <x:c r="L12" s="19" t="str">
        <x:v>$36.50 only if genuine business start is July 1 or later. Otherwise $73. Assumes Seattle place of business and no exemption. Renew annually by Dec 31; 2027 rate not verified.</x:v>
      </x:c>
      <x:c r="M12" s="19" t="str">
        <x:v>https://www.seattle.gov/city-finance/business-taxes-and-licenses/business-licenses</x:v>
      </x:c>
      <x:c r="N12" s="36" t="str">
        <x:v>City License and Tax Administration / SBDC: verify prior license and true start. No waiver assumed.</x:v>
      </x:c>
    </x:row>
    <x:row r="13" ht="100" customHeight="1">
      <x:c r="A13" s="19" t="n">
        <x:v>7</x:v>
      </x:c>
      <x:c r="B13" s="19" t="str">
        <x:v>Online payment fees / mailing cost</x:v>
      </x:c>
      <x:c r="C13" s="19" t="str">
        <x:v>Conditional</x:v>
      </x:c>
      <x:c r="D13" s="19" t="str">
        <x:v>At submission</x:v>
      </x:c>
      <x:c r="E13" s="20"/>
      <x:c r="F13" s="20"/>
      <x:c r="G13" s="21" t="n">
        <x:v>0</x:v>
      </x:c>
      <x:c r="H13" s="22" t="n">
        <x:f>IF(G13=0,0,IF(ISNUMBER(E13),E13,"Unpriced"))</x:f>
        <x:v>0</x:v>
      </x:c>
      <x:c r="I13" s="22" t="n">
        <x:f>IF(G13=0,0,IF(ISNUMBER(F13),F13,"Unpriced"))</x:f>
        <x:v>0</x:v>
      </x:c>
      <x:c r="J13" s="23"/>
      <x:c r="K13" s="19" t="str">
        <x:v>Amount unconfirmed</x:v>
      </x:c>
      <x:c r="L13" s="19" t="str">
        <x:v>City payment service/card/ACH charges or postage may add cost. Government subtotal excludes these. Confirm selected payment method before paying.</x:v>
      </x:c>
      <x:c r="M13" s="19" t="str">
        <x:v>https://www.seattle.gov/city-finance/business-taxes-and-licenses/business-licenses</x:v>
      </x:c>
      <x:c r="N13" s="36" t="str">
        <x:v>Check official payment method charges; no subsidy verified.</x:v>
      </x:c>
    </x:row>
    <x:row r="14" ht="100" customHeight="1">
      <x:c r="A14" s="19" t="n">
        <x:v>8</x:v>
      </x:c>
      <x:c r="B14" s="19" t="str">
        <x:v>Optional WA LLC formation online</x:v>
      </x:c>
      <x:c r="C14" s="19" t="str">
        <x:v>Optional</x:v>
      </x:c>
      <x:c r="D14" s="19" t="str">
        <x:v>Before new entity</x:v>
      </x:c>
      <x:c r="E14" s="20" t="n">
        <x:v>200</x:v>
      </x:c>
      <x:c r="F14" s="20" t="n">
        <x:v>200</x:v>
      </x:c>
      <x:c r="G14" s="21" t="n">
        <x:v>0</x:v>
      </x:c>
      <x:c r="H14" s="22" t="n">
        <x:f>IF(G14=0,0,IF(ISNUMBER(E14),E14,"Unpriced"))</x:f>
        <x:v>0</x:v>
      </x:c>
      <x:c r="I14" s="22" t="n">
        <x:f>IF(G14=0,0,IF(ISNUMBER(F14),F14,"Unpriced"))</x:f>
        <x:v>0</x:v>
      </x:c>
      <x:c r="J14" s="23"/>
      <x:c r="K14" s="19" t="str">
        <x:v>Not selected</x:v>
      </x:c>
      <x:c r="L14" s="19" t="str">
        <x:v>$180 formation + $20 online fee. Mail base $180 plus mailing. Additional $100 expedited service optional; not needed for baseline. Sole proprietor does not need an LLC to operate legally.</x:v>
      </x:c>
      <x:c r="M14" s="19" t="str">
        <x:v>https://www.sos.wa.gov/corporations-charities/frequently-asked-questions-faqs/fee-schedules-priority-services ; https://app.leg.wa.gov/wac/default.aspx?cite=434-112-075</x:v>
      </x:c>
      <x:c r="N14" s="36" t="str">
        <x:v>Communities Rise / City OED legal assistance: entity choice and formation help; state fee not waived automatically.</x:v>
      </x:c>
    </x:row>
    <x:row r="15" ht="100" customHeight="1">
      <x:c r="A15" s="19" t="n">
        <x:v>9</x:v>
      </x:c>
      <x:c r="B15" s="19" t="str">
        <x:v>LLC initial report with formation</x:v>
      </x:c>
      <x:c r="C15" s="19" t="str">
        <x:v>Optional</x:v>
      </x:c>
      <x:c r="D15" s="19" t="str">
        <x:v>Formation</x:v>
      </x:c>
      <x:c r="E15" s="20" t="n">
        <x:v>0</x:v>
      </x:c>
      <x:c r="F15" s="20" t="n">
        <x:v>0</x:v>
      </x:c>
      <x:c r="G15" s="21" t="n">
        <x:v>0</x:v>
      </x:c>
      <x:c r="H15" s="22" t="n">
        <x:f>IF(G15=0,0,IF(ISNUMBER(E15),E15,"Unpriced"))</x:f>
        <x:v>0</x:v>
      </x:c>
      <x:c r="I15" s="22" t="n">
        <x:f>IF(G15=0,0,IF(ISNUMBER(F15),F15,"Unpriced"))</x:f>
        <x:v>0</x:v>
      </x:c>
      <x:c r="J15" s="23"/>
      <x:c r="K15" s="19" t="str">
        <x:v>File together</x:v>
      </x:c>
      <x:c r="L15" s="19" t="str">
        <x:v>Included if submitted with formation. Deferred report has $10 filing fee and potentially online processing. Do not add twice.</x:v>
      </x:c>
      <x:c r="M15" s="19" t="str">
        <x:v>https://www.sos.wa.gov/corporations-charities/frequently-asked-questions-faqs/fee-schedules-priority-services</x:v>
      </x:c>
      <x:c r="N15" s="36" t="str">
        <x:v>File with formation to avoid deferred-report fee; free legal route for guidance.</x:v>
      </x:c>
    </x:row>
    <x:row r="16" ht="100" customHeight="1">
      <x:c r="A16" s="19" t="n">
        <x:v>10</x:v>
      </x:c>
      <x:c r="B16" s="19" t="str">
        <x:v>LLC annual report</x:v>
      </x:c>
      <x:c r="C16" s="19" t="str">
        <x:v>Optional</x:v>
      </x:c>
      <x:c r="D16" s="19" t="str">
        <x:v>Annual anniversary</x:v>
      </x:c>
      <x:c r="E16" s="20" t="n">
        <x:v>70</x:v>
      </x:c>
      <x:c r="F16" s="20" t="n">
        <x:v>70</x:v>
      </x:c>
      <x:c r="G16" s="21" t="n">
        <x:v>0</x:v>
      </x:c>
      <x:c r="H16" s="22" t="n">
        <x:f>IF(G16=0,0,IF(ISNUMBER(E16),E16,"Unpriced"))</x:f>
        <x:v>0</x:v>
      </x:c>
      <x:c r="I16" s="22" t="n">
        <x:f>IF(G16=0,0,IF(ISNUMBER(F16),F16,"Unpriced"))</x:f>
        <x:v>0</x:v>
      </x:c>
      <x:c r="J16" s="23"/>
      <x:c r="K16" s="19" t="str">
        <x:v>Only if LLC formed</x:v>
      </x:c>
      <x:c r="L16" s="19" t="str">
        <x:v>$70 recurring. First anniversary renewal is separate from initial filing. No annual LLC report for current sole proprietorship.</x:v>
      </x:c>
      <x:c r="M16" s="19" t="str">
        <x:v>https://www.sos.wa.gov/corporations-charities/frequently-asked-questions-faqs/fee-schedules-priority-services</x:v>
      </x:c>
      <x:c r="N16" s="36" t="str">
        <x:v>No annual-report fee subsidy verified.</x:v>
      </x:c>
    </x:row>
    <x:row r="17" ht="100" customHeight="1">
      <x:c r="A17" s="19" t="n">
        <x:v>11</x:v>
      </x:c>
      <x:c r="B17" s="19" t="str">
        <x:v>LLC registered agent</x:v>
      </x:c>
      <x:c r="C17" s="19" t="str">
        <x:v>Conditional</x:v>
      </x:c>
      <x:c r="D17" s="19" t="str">
        <x:v>Annual</x:v>
      </x:c>
      <x:c r="E17" s="20"/>
      <x:c r="F17" s="20"/>
      <x:c r="G17" s="21" t="n">
        <x:v>0</x:v>
      </x:c>
      <x:c r="H17" s="22" t="n">
        <x:f>IF(G17=0,0,IF(ISNUMBER(E17),E17,"Unpriced"))</x:f>
        <x:v>0</x:v>
      </x:c>
      <x:c r="I17" s="22" t="n">
        <x:f>IF(G17=0,0,IF(ISNUMBER(F17),F17,"Unpriced"))</x:f>
        <x:v>0</x:v>
      </x:c>
      <x:c r="J17" s="23"/>
      <x:c r="K17" s="19" t="str">
        <x:v>Eligibility / quote</x:v>
      </x:c>
      <x:c r="L17" s="19" t="str">
        <x:v>No government requirement to buy a commercial agent. Eligible consenting noncommercial agent may cost $0; otherwise obtain quote. WA physical address and availability required; filing details public.</x:v>
      </x:c>
      <x:c r="M17" s="19" t="str">
        <x:v>https://www.sos.wa.gov/corporations-charities/frequently-asked-questions-faqs/contact-info-requirements-updates</x:v>
      </x:c>
      <x:c r="N17" s="36" t="str">
        <x:v>Free entity-choice advice may help; commercial agent service not funded/selected.</x:v>
      </x:c>
    </x:row>
    <x:row r="18" ht="100" customHeight="1">
      <x:c r="A18" s="19" t="n">
        <x:v>12</x:v>
      </x:c>
      <x:c r="B18" s="19" t="str">
        <x:v>DOR endorsement renewal processing</x:v>
      </x:c>
      <x:c r="C18" s="19" t="str">
        <x:v>Conditional</x:v>
      </x:c>
      <x:c r="D18" s="19" t="str">
        <x:v>Annual if applicable</x:v>
      </x:c>
      <x:c r="E18" s="20" t="n">
        <x:v>5</x:v>
      </x:c>
      <x:c r="F18" s="20" t="n">
        <x:v>5</x:v>
      </x:c>
      <x:c r="G18" s="21" t="n">
        <x:v>0</x:v>
      </x:c>
      <x:c r="H18" s="22" t="n">
        <x:f>IF(G18=0,0,IF(ISNUMBER(E18),E18,"Unpriced"))</x:f>
        <x:v>0</x:v>
      </x:c>
      <x:c r="I18" s="22" t="n">
        <x:f>IF(G18=0,0,IF(ISNUMBER(F18),F18,"Unpriced"))</x:f>
        <x:v>0</x:v>
      </x:c>
      <x:c r="J18" s="23"/>
      <x:c r="K18" s="19" t="str">
        <x:v>Not universal</x:v>
      </x:c>
      <x:c r="L18" s="19" t="str">
        <x:v>$5 processing when renewing endorsements, plus endorsement charges. Trade name remains registered indefinitely. Not a separate annual UBI fee; Seattle renewal is separate.</x:v>
      </x:c>
      <x:c r="M18" s="19" t="str">
        <x:v>https://dor.wa.gov/open-business/apply-business-license/variable-business-license-processing-fees</x:v>
      </x:c>
      <x:c r="N18" s="36" t="str">
        <x:v>Verify applicable endorsements; no automatic annual UBI fee.</x:v>
      </x:c>
    </x:row>
    <x:row r="19" ht="100" customHeight="1">
      <x:c r="A19" s="19" t="n">
        <x:v>13</x:v>
      </x:c>
      <x:c r="B19" s="19" t="str">
        <x:v>FinCEN BOI / CTA filing</x:v>
      </x:c>
      <x:c r="C19" s="19" t="str">
        <x:v>Free</x:v>
      </x:c>
      <x:c r="D19" s="19" t="str">
        <x:v>Current US setup</x:v>
      </x:c>
      <x:c r="E19" s="20" t="n">
        <x:v>0</x:v>
      </x:c>
      <x:c r="F19" s="20" t="n">
        <x:v>0</x:v>
      </x:c>
      <x:c r="G19" s="21" t="n">
        <x:v>0</x:v>
      </x:c>
      <x:c r="H19" s="22" t="n">
        <x:f>IF(G19=0,0,IF(ISNUMBER(E19),E19,"Unpriced"))</x:f>
        <x:v>0</x:v>
      </x:c>
      <x:c r="I19" s="22" t="n">
        <x:f>IF(G19=0,0,IF(ISNUMBER(F19),F19,"Unpriced"))</x:f>
        <x:v>0</x:v>
      </x:c>
      <x:c r="J19" s="23"/>
      <x:c r="K19" s="19" t="str">
        <x:v>Domestic exemption</x:v>
      </x:c>
      <x:c r="L19" s="19" t="str">
        <x:v>Current FinCEN page exempts US-created companies; current sole proprietor has no domestic-company BOI filing to purchase. Recheck if structure or rules change.</x:v>
      </x:c>
      <x:c r="M19" s="19" t="str">
        <x:v>https://www.fincen.gov/boi</x:v>
      </x:c>
      <x:c r="N19" s="36" t="str">
        <x:v>No domestic BOI service purchase needed under current exemption.</x:v>
      </x:c>
    </x:row>
    <x:row r="20" ht="100" customHeight="1">
      <x:c r="A20" s="19" t="n">
        <x:v>14</x:v>
      </x:c>
      <x:c r="B20" s="19" t="str">
        <x:v>General liability insurance</x:v>
      </x:c>
      <x:c r="C20" s="19" t="str">
        <x:v>Reserve</x:v>
      </x:c>
      <x:c r="D20" s="19" t="str">
        <x:v>12 months</x:v>
      </x:c>
      <x:c r="E20" s="20" t="n">
        <x:v>300</x:v>
      </x:c>
      <x:c r="F20" s="20" t="n">
        <x:v>900</x:v>
      </x:c>
      <x:c r="G20" s="21" t="n">
        <x:v>1</x:v>
      </x:c>
      <x:c r="H20" s="22" t="n">
        <x:f>IF(G20=0,0,IF(ISNUMBER(E20),E20,"Unpriced"))</x:f>
        <x:v>300</x:v>
      </x:c>
      <x:c r="I20" s="22" t="n">
        <x:f>IF(G20=0,0,IF(ISNUMBER(F20),F20,"Unpriced"))</x:f>
        <x:v>900</x:v>
      </x:c>
      <x:c r="J20" s="23"/>
      <x:c r="K20" s="19" t="str">
        <x:v>Unquoted allowance</x:v>
      </x:c>
      <x:c r="L20" s="19" t="str">
        <x:v>Internal budget allowance, not insurer pricing. Confirm operations, limits, deductibles, exclusions and customer COI requirements. Premium may exceed allowance.</x:v>
      </x:c>
      <x:c r="M20" s="19" t="str">
        <x:v>https://www.insurance.wa.gov/insurance-resources/business-insurance/learn-how-business-insurance-works</x:v>
      </x:c>
      <x:c r="N20" s="36" t="str">
        <x:v>No insurance-premium subsidy verified; compare licensed quotes; grant uses need confirmation.</x:v>
      </x:c>
    </x:row>
    <x:row r="21" ht="100" customHeight="1">
      <x:c r="A21" s="19" t="n">
        <x:v>15</x:v>
      </x:c>
      <x:c r="B21" s="19" t="str">
        <x:v>Technology E&amp;O / professional liability</x:v>
      </x:c>
      <x:c r="C21" s="19" t="str">
        <x:v>Reserve</x:v>
      </x:c>
      <x:c r="D21" s="19" t="str">
        <x:v>12 months</x:v>
      </x:c>
      <x:c r="E21" s="20" t="n">
        <x:v>600</x:v>
      </x:c>
      <x:c r="F21" s="20" t="n">
        <x:v>1800</x:v>
      </x:c>
      <x:c r="G21" s="21" t="n">
        <x:v>1</x:v>
      </x:c>
      <x:c r="H21" s="22" t="n">
        <x:f>IF(G21=0,0,IF(ISNUMBER(E21),E21,"Unpriced"))</x:f>
        <x:v>600</x:v>
      </x:c>
      <x:c r="I21" s="22" t="n">
        <x:f>IF(G21=0,0,IF(ISNUMBER(F21),F21,"Unpriced"))</x:f>
        <x:v>1800</x:v>
      </x:c>
      <x:c r="J21" s="23"/>
      <x:c r="K21" s="19" t="str">
        <x:v>Unquoted allowance</x:v>
      </x:c>
      <x:c r="L21" s="19" t="str">
        <x:v>Internal allowance for professional error claims. Obtain quote; compare combined technology E&amp;O/cyber policy so overlapping coverage is not paid twice.</x:v>
      </x:c>
      <x:c r="M21" s="19" t="str">
        <x:v>https://www.insurance.wa.gov/insurance-resources/business-insurance/learn-how-business-insurance-works</x:v>
      </x:c>
      <x:c r="N21" s="36" t="str">
        <x:v>Compare combined tech E&amp;O/cyber quote; no premium subsidy verified.</x:v>
      </x:c>
    </x:row>
    <x:row r="22" ht="100" customHeight="1">
      <x:c r="A22" s="19" t="n">
        <x:v>16</x:v>
      </x:c>
      <x:c r="B22" s="19" t="str">
        <x:v>Cyber / privacy insurance</x:v>
      </x:c>
      <x:c r="C22" s="19" t="str">
        <x:v>Reserve</x:v>
      </x:c>
      <x:c r="D22" s="19" t="str">
        <x:v>12 months</x:v>
      </x:c>
      <x:c r="E22" s="20" t="n">
        <x:v>600</x:v>
      </x:c>
      <x:c r="F22" s="20" t="n">
        <x:v>1800</x:v>
      </x:c>
      <x:c r="G22" s="21" t="n">
        <x:v>1</x:v>
      </x:c>
      <x:c r="H22" s="22" t="n">
        <x:f>IF(G22=0,0,IF(ISNUMBER(E22),E22,"Unpriced"))</x:f>
        <x:v>600</x:v>
      </x:c>
      <x:c r="I22" s="22" t="n">
        <x:f>IF(G22=0,0,IF(ISNUMBER(F22),F22,"Unpriced"))</x:f>
        <x:v>1800</x:v>
      </x:c>
      <x:c r="J22" s="23"/>
      <x:c r="K22" s="19" t="str">
        <x:v>Unquoted allowance</x:v>
      </x:c>
      <x:c r="L22" s="19" t="str">
        <x:v>Internal allowance, not quote. May be bundled with row 15; replace both with actual combined premium if bundled.</x:v>
      </x:c>
      <x:c r="M22" s="19" t="str">
        <x:v>https://www.insurance.wa.gov/insurance-resources/business-insurance/learn-how-business-insurance-works</x:v>
      </x:c>
      <x:c r="N22" s="36" t="str">
        <x:v>Avoid duplicate bundled premium; no subsidy verified.</x:v>
      </x:c>
    </x:row>
    <x:row r="23" ht="100" customHeight="1">
      <x:c r="A23" s="19" t="n">
        <x:v>17</x:v>
      </x:c>
      <x:c r="B23" s="19" t="str">
        <x:v>Contract, privacy and license legal review</x:v>
      </x:c>
      <x:c r="C23" s="19" t="str">
        <x:v>Reserve</x:v>
      </x:c>
      <x:c r="D23" s="19" t="str">
        <x:v>Initial scoped work</x:v>
      </x:c>
      <x:c r="E23" s="20" t="n">
        <x:v>500</x:v>
      </x:c>
      <x:c r="F23" s="20" t="n">
        <x:v>2000</x:v>
      </x:c>
      <x:c r="G23" s="21" t="n">
        <x:v>1</x:v>
      </x:c>
      <x:c r="H23" s="22" t="n">
        <x:f>IF(G23=0,0,IF(ISNUMBER(E23),E23,"Unpriced"))</x:f>
        <x:v>500</x:v>
      </x:c>
      <x:c r="I23" s="22" t="n">
        <x:f>IF(G23=0,0,IF(ISNUMBER(F23),F23,"Unpriced"))</x:f>
        <x:v>2000</x:v>
      </x:c>
      <x:c r="J23" s="23"/>
      <x:c r="K23" s="19" t="str">
        <x:v>Quote / free intake pending</x:v>
      </x:c>
      <x:c r="L23" s="19" t="str">
        <x:v>Internal paid fallback allowance. Eligible Communities Rise service may be free, but eligibility/availability not confirmed. Patent matters excluded. Scope and quote before engagement.</x:v>
      </x:c>
      <x:c r="M23" s="19" t="str">
        <x:v>https://communities-rise.org/microenterprise-services/small-business-legal-services/</x:v>
      </x:c>
      <x:c r="N23" s="36" t="str">
        <x:v>City OED / Communities Rise free legal help if accepted; SPL questions only, no document review.</x:v>
      </x:c>
    </x:row>
    <x:row r="24" ht="100" customHeight="1">
      <x:c r="A24" s="19" t="n">
        <x:v>18</x:v>
      </x:c>
      <x:c r="B24" s="19" t="str">
        <x:v>Accountant / bookkeeping and tax setup</x:v>
      </x:c>
      <x:c r="C24" s="19" t="str">
        <x:v>Reserve</x:v>
      </x:c>
      <x:c r="D24" s="19" t="str">
        <x:v>Initial support</x:v>
      </x:c>
      <x:c r="E24" s="20" t="n">
        <x:v>300</x:v>
      </x:c>
      <x:c r="F24" s="20" t="n">
        <x:v>900</x:v>
      </x:c>
      <x:c r="G24" s="21" t="n">
        <x:v>1</x:v>
      </x:c>
      <x:c r="H24" s="22" t="n">
        <x:f>IF(G24=0,0,IF(ISNUMBER(E24),E24,"Unpriced"))</x:f>
        <x:v>300</x:v>
      </x:c>
      <x:c r="I24" s="22" t="n">
        <x:f>IF(G24=0,0,IF(ISNUMBER(F24),F24,"Unpriced"))</x:f>
        <x:v>900</x:v>
      </x:c>
      <x:c r="J24" s="23"/>
      <x:c r="K24" s="19" t="str">
        <x:v>Unquoted allowance</x:v>
      </x:c>
      <x:c r="L24" s="19" t="str">
        <x:v>Internal scoped setup/review allowance, not ongoing monthly bookkeeping or all tax returns. Taxes themselves are separate.</x:v>
      </x:c>
      <x:c r="M24" s="19" t="str">
        <x:v>https://dor.wa.gov/taxes-rates/information-technology-services ; https://www.irs.gov/businesses/small-businesses-self-employed/self-employment-tax-social-security-and-medicare-taxes</x:v>
      </x:c>
      <x:c r="N24" s="36" t="str">
        <x:v>Seattle ABC accounting help if approved AFTER active Seattle license. Existing coaches free.</x:v>
      </x:c>
    </x:row>
    <x:row r="25" ht="100" customHeight="1">
      <x:c r="A25" s="19" t="n">
        <x:v>19</x:v>
      </x:c>
      <x:c r="B25" s="19" t="str">
        <x:v>Independent security and accessibility review</x:v>
      </x:c>
      <x:c r="C25" s="19" t="str">
        <x:v>Reserve</x:v>
      </x:c>
      <x:c r="D25" s="19" t="str">
        <x:v>Initial limited review</x:v>
      </x:c>
      <x:c r="E25" s="20" t="n">
        <x:v>500</x:v>
      </x:c>
      <x:c r="F25" s="20" t="n">
        <x:v>2000</x:v>
      </x:c>
      <x:c r="G25" s="21" t="n">
        <x:v>1</x:v>
      </x:c>
      <x:c r="H25" s="22" t="n">
        <x:f>IF(G25=0,0,IF(ISNUMBER(E25),E25,"Unpriced"))</x:f>
        <x:v>500</x:v>
      </x:c>
      <x:c r="I25" s="22" t="n">
        <x:f>IF(G25=0,0,IF(ISNUMBER(F25),F25,"Unpriced"))</x:f>
        <x:v>2000</x:v>
      </x:c>
      <x:c r="J25" s="23"/>
      <x:c r="K25" s="19" t="str">
        <x:v>Unquoted allowance</x:v>
      </x:c>
      <x:c r="L25" s="19" t="str">
        <x:v>Internal limited-review allowance. Not a comprehensive penetration test, certification or approval for school/bank production data. Broader work needs separate quote.</x:v>
      </x:c>
      <x:c r="M25" s="19" t="str">
        <x:v>Internal planning allowance; define scope with prospective customer.</x:v>
      </x:c>
      <x:c r="N25" s="36" t="str">
        <x:v>No free independent security/accessibility assessment secured; define scope before quote.</x:v>
      </x:c>
    </x:row>
    <x:row r="26" ht="100" customHeight="1">
      <x:c r="A26" s="19" t="n">
        <x:v>20</x:v>
      </x:c>
      <x:c r="B26" s="19" t="str">
        <x:v>Domain, email and hosting</x:v>
      </x:c>
      <x:c r="C26" s="19" t="str">
        <x:v>Reserve</x:v>
      </x:c>
      <x:c r="D26" s="19" t="str">
        <x:v>12 months</x:v>
      </x:c>
      <x:c r="E26" s="20"/>
      <x:c r="F26" s="20"/>
      <x:c r="G26" s="21" t="n">
        <x:v>0</x:v>
      </x:c>
      <x:c r="H26" s="22" t="n">
        <x:f>IF(G26=0,0,IF(ISNUMBER(E26),E26,"Unpriced"))</x:f>
        <x:v>0</x:v>
      </x:c>
      <x:c r="I26" s="22" t="n">
        <x:f>IF(G26=0,0,IF(ISNUMBER(F26),F26,"Unpriced"))</x:f>
        <x:v>0</x:v>
      </x:c>
      <x:c r="J26" s="23"/>
      <x:c r="K26" s="19" t="str">
        <x:v>Already established; usage unpriced</x:v>
      </x:c>
      <x:c r="L26" s="19" t="str">
        <x:v>civiccontinuum.org receipt confirms $7.98 paid through 2027-09-26. No replacement domain needed. $11.84 was a historical renewal estimate, not a current invoice. Existing contact forwarding, Sites and Cloudflare free-plan record established; current paid usage/add-ons and future renewal costs still unpriced.</x:v>
      </x:c>
      <x:c r="M26" s="19" t="str">
        <x:v>Existing registrar receipt checked 2026-10-18; private evidence retained. No public order/account details.</x:v>
      </x:c>
      <x:c r="N26" s="36" t="str">
        <x:v>Domain/contact/web infrastructure already exists; do not repurchase.</x:v>
      </x:c>
    </x:row>
    <x:row r="27" ht="100" customHeight="1">
      <x:c r="A27" s="19" t="n">
        <x:v>21</x:v>
      </x:c>
      <x:c r="B27" s="19" t="str">
        <x:v>Business bank account</x:v>
      </x:c>
      <x:c r="C27" s="19" t="str">
        <x:v>Conditional</x:v>
      </x:c>
      <x:c r="D27" s="19" t="str">
        <x:v>Opening / monthly</x:v>
      </x:c>
      <x:c r="E27" s="20"/>
      <x:c r="F27" s="20"/>
      <x:c r="G27" s="21" t="n">
        <x:v>0</x:v>
      </x:c>
      <x:c r="H27" s="22" t="n">
        <x:f>IF(G27=0,0,IF(ISNUMBER(E27),E27,"Unpriced"))</x:f>
        <x:v>0</x:v>
      </x:c>
      <x:c r="I27" s="22" t="n">
        <x:f>IF(G27=0,0,IF(ISNUMBER(F27),F27,"Unpriced"))</x:f>
        <x:v>0</x:v>
      </x:c>
      <x:c r="J27" s="23"/>
      <x:c r="K27" s="19" t="str">
        <x:v>Terms needed</x:v>
      </x:c>
      <x:c r="L27" s="19" t="str">
        <x:v>No universal government fee. Choose account after legal identity/licensing facts are ready. Minimum deposit is cash retained as an asset, not a fee; bank charges unconfirmed.</x:v>
      </x:c>
      <x:c r="M27" s="19" t="str">
        <x:v>No bank selected; obtain fee schedule.</x:v>
      </x:c>
      <x:c r="N27" s="36" t="str">
        <x:v>No selected account fee or bank subsidy verified.</x:v>
      </x:c>
    </x:row>
    <x:row r="28" ht="100" customHeight="1">
      <x:c r="A28" s="19" t="n">
        <x:v>22</x:v>
      </x:c>
      <x:c r="B28" s="19" t="str">
        <x:v>Basic business cards / flyer</x:v>
      </x:c>
      <x:c r="C28" s="19" t="str">
        <x:v>Reserve</x:v>
      </x:c>
      <x:c r="D28" s="19" t="str">
        <x:v>Initial</x:v>
      </x:c>
      <x:c r="E28" s="20" t="n">
        <x:v>0</x:v>
      </x:c>
      <x:c r="F28" s="20" t="n">
        <x:v>100</x:v>
      </x:c>
      <x:c r="G28" s="21" t="n">
        <x:v>1</x:v>
      </x:c>
      <x:c r="H28" s="22" t="n">
        <x:f>IF(G28=0,0,IF(ISNUMBER(E28),E28,"Unpriced"))</x:f>
        <x:v>0</x:v>
      </x:c>
      <x:c r="I28" s="22" t="n">
        <x:f>IF(G28=0,0,IF(ISNUMBER(F28),F28,"Unpriced"))</x:f>
        <x:v>100</x:v>
      </x:c>
      <x:c r="J28" s="23"/>
      <x:c r="K28" s="19" t="str">
        <x:v>Optional allowance</x:v>
      </x:c>
      <x:c r="L28" s="19" t="str">
        <x:v>Digital outreach can be $0. Internal maximum allowance for small print run, not required registration or a vendor quote.</x:v>
      </x:c>
      <x:c r="M28" s="19" t="str">
        <x:v>Internal planning allowance.</x:v>
      </x:c>
      <x:c r="N28" s="36" t="str">
        <x:v>Seattle ABC branding/marketing support if eligible; use free digital materials first.</x:v>
      </x:c>
    </x:row>
    <x:row r="29" ht="100" customHeight="1">
      <x:c r="A29" s="19" t="n">
        <x:v>23</x:v>
      </x:c>
      <x:c r="B29" s="19" t="str">
        <x:v>SAM.gov registration and UEI</x:v>
      </x:c>
      <x:c r="C29" s="19" t="str">
        <x:v>Free</x:v>
      </x:c>
      <x:c r="D29" s="19" t="str">
        <x:v>Federal awards</x:v>
      </x:c>
      <x:c r="E29" s="20" t="n">
        <x:v>0</x:v>
      </x:c>
      <x:c r="F29" s="20" t="n">
        <x:v>0</x:v>
      </x:c>
      <x:c r="G29" s="21" t="n">
        <x:v>0</x:v>
      </x:c>
      <x:c r="H29" s="22" t="n">
        <x:f>IF(G29=0,0,IF(ISNUMBER(E29),E29,"Unpriced"))</x:f>
        <x:v>0</x:v>
      </x:c>
      <x:c r="I29" s="22" t="n">
        <x:f>IF(G29=0,0,IF(ISNUMBER(F29),F29,"Unpriced"))</x:f>
        <x:v>0</x:v>
      </x:c>
      <x:c r="J29" s="23"/>
      <x:c r="K29" s="19" t="str">
        <x:v>Optional / eligibility</x:v>
      </x:c>
      <x:c r="L29" s="19" t="str">
        <x:v>Direct government registration/renewal and UEI free. Not a general business license and not a promise of an award. No paid registration intermediary needed.</x:v>
      </x:c>
      <x:c r="M29" s="19" t="str">
        <x:v>https://sam.gov/SAM/?PS=BA</x:v>
      </x:c>
      <x:c r="N29" s="36" t="str">
        <x:v>Direct SAM/UEI free.</x:v>
      </x:c>
    </x:row>
    <x:row r="30" ht="100" customHeight="1">
      <x:c r="A30" s="19" t="n">
        <x:v>24</x:v>
      </x:c>
      <x:c r="B30" s="19" t="str">
        <x:v>NAICS classification code</x:v>
      </x:c>
      <x:c r="C30" s="19" t="str">
        <x:v>Free</x:v>
      </x:c>
      <x:c r="D30" s="19" t="str">
        <x:v>Registration / bids</x:v>
      </x:c>
      <x:c r="E30" s="20" t="n">
        <x:v>0</x:v>
      </x:c>
      <x:c r="F30" s="20" t="n">
        <x:v>0</x:v>
      </x:c>
      <x:c r="G30" s="21" t="n">
        <x:v>0</x:v>
      </x:c>
      <x:c r="H30" s="22" t="n">
        <x:f>IF(G30=0,0,IF(ISNUMBER(E30),E30,"Unpriced"))</x:f>
        <x:v>0</x:v>
      </x:c>
      <x:c r="I30" s="22" t="n">
        <x:f>IF(G30=0,0,IF(ISNUMBER(F30),F30,"Unpriced"))</x:f>
        <x:v>0</x:v>
      </x:c>
      <x:c r="J30" s="23"/>
      <x:c r="K30" s="19" t="str">
        <x:v>Code, not license</x:v>
      </x:c>
      <x:c r="L30" s="19" t="str">
        <x:v>Industry classification selected to match actual activity. No government code purchase or certificate fee. It does not authorize regulated professional services.</x:v>
      </x:c>
      <x:c r="M30" s="19" t="str">
        <x:v>https://des.wa.gov/do-business-state/how-work-state/register-bid-opportunities</x:v>
      </x:c>
      <x:c r="N30" s="36" t="str">
        <x:v>Official Census classification tools free.</x:v>
      </x:c>
    </x:row>
    <x:row r="31" ht="100" customHeight="1">
      <x:c r="A31" s="19" t="n">
        <x:v>25</x:v>
      </x:c>
      <x:c r="B31" s="19" t="str">
        <x:v>WEBS vendor registration</x:v>
      </x:c>
      <x:c r="C31" s="19" t="str">
        <x:v>Free</x:v>
      </x:c>
      <x:c r="D31" s="19" t="str">
        <x:v>WA procurement</x:v>
      </x:c>
      <x:c r="E31" s="20" t="n">
        <x:v>0</x:v>
      </x:c>
      <x:c r="F31" s="20" t="n">
        <x:v>0</x:v>
      </x:c>
      <x:c r="G31" s="21" t="n">
        <x:v>0</x:v>
      </x:c>
      <x:c r="H31" s="22" t="n">
        <x:f>IF(G31=0,0,IF(ISNUMBER(E31),E31,"Unpriced"))</x:f>
        <x:v>0</x:v>
      </x:c>
      <x:c r="I31" s="22" t="n">
        <x:f>IF(G31=0,0,IF(ISNUMBER(F31),F31,"Unpriced"))</x:f>
        <x:v>0</x:v>
      </x:c>
      <x:c r="J31" s="23"/>
      <x:c r="K31" s="19" t="str">
        <x:v>When bidding</x:v>
      </x:c>
      <x:c r="L31" s="19" t="str">
        <x:v>Free registration; bid eligibility/agency requirements separate. Not a contract award or statewide business license.</x:v>
      </x:c>
      <x:c r="M31" s="19" t="str">
        <x:v>https://des.wa.gov/do-business-state/how-work-state/register-bid-opportunities ; https://careerconnectwa.org/apply-for-funding/</x:v>
      </x:c>
      <x:c r="N31" s="36" t="str">
        <x:v>Direct WEBS vendor registration free.</x:v>
      </x:c>
    </x:row>
    <x:row r="32" ht="100" customHeight="1">
      <x:c r="A32" s="19" t="n">
        <x:v>26</x:v>
      </x:c>
      <x:c r="B32" s="19" t="str">
        <x:v>OMWBE state/federal certification</x:v>
      </x:c>
      <x:c r="C32" s="19" t="str">
        <x:v>Free</x:v>
      </x:c>
      <x:c r="D32" s="19" t="str">
        <x:v>If eligible</x:v>
      </x:c>
      <x:c r="E32" s="20" t="n">
        <x:v>0</x:v>
      </x:c>
      <x:c r="F32" s="20" t="n">
        <x:v>0</x:v>
      </x:c>
      <x:c r="G32" s="21" t="n">
        <x:v>0</x:v>
      </x:c>
      <x:c r="H32" s="22" t="n">
        <x:f>IF(G32=0,0,IF(ISNUMBER(E32),E32,"Unpriced"))</x:f>
        <x:v>0</x:v>
      </x:c>
      <x:c r="I32" s="22" t="n">
        <x:f>IF(G32=0,0,IF(ISNUMBER(F32),F32,"Unpriced"))</x:f>
        <x:v>0</x:v>
      </x:c>
      <x:c r="J32" s="23"/>
      <x:c r="K32" s="19" t="str">
        <x:v>Eligibility unverified</x:v>
      </x:c>
      <x:c r="L32" s="19" t="str">
        <x:v>Current application and renewal fees waived indefinitely. Ownership/control and program eligibility still must be established. Certification not yet claimed.</x:v>
      </x:c>
      <x:c r="M32" s="19" t="str">
        <x:v>https://omwbe.wa.gov/certification/certification-fees</x:v>
      </x:c>
      <x:c r="N32" s="36" t="str">
        <x:v>Direct OMWBE certification fees waived; verify eligibility.</x:v>
      </x:c>
    </x:row>
    <x:row r="33" ht="100" customHeight="1">
      <x:c r="A33" s="19" t="n">
        <x:v>27</x:v>
      </x:c>
      <x:c r="B33" s="19" t="str">
        <x:v>SBA WOSB / EDWOSB</x:v>
      </x:c>
      <x:c r="C33" s="19" t="str">
        <x:v>Free</x:v>
      </x:c>
      <x:c r="D33" s="19" t="str">
        <x:v>If eligible</x:v>
      </x:c>
      <x:c r="E33" s="20" t="n">
        <x:v>0</x:v>
      </x:c>
      <x:c r="F33" s="20" t="n">
        <x:v>0</x:v>
      </x:c>
      <x:c r="G33" s="21" t="n">
        <x:v>0</x:v>
      </x:c>
      <x:c r="H33" s="22" t="n">
        <x:f>IF(G33=0,0,IF(ISNUMBER(E33),E33,"Unpriced"))</x:f>
        <x:v>0</x:v>
      </x:c>
      <x:c r="I33" s="22" t="n">
        <x:f>IF(G33=0,0,IF(ISNUMBER(F33),F33,"Unpriced"))</x:f>
        <x:v>0</x:v>
      </x:c>
      <x:c r="J33" s="23"/>
      <x:c r="K33" s="19" t="str">
        <x:v>Direct SBA route</x:v>
      </x:c>
      <x:c r="L33" s="19" t="str">
        <x:v>Direct SBA certification free. Optional third-party certification may charge; not needed for direct route. Citizenship/ownership/size and EDWOSB finances must be verified.</x:v>
      </x:c>
      <x:c r="M33" s="19" t="str">
        <x:v>https://www.sba.gov/certifications/</x:v>
      </x:c>
      <x:c r="N33" s="36" t="str">
        <x:v>Direct SBA WOSB/EDWOSB route free; avoid unnecessary paid intermediary.</x:v>
      </x:c>
    </x:row>
    <x:row r="34" ht="100" customHeight="1">
      <x:c r="A34" s="19" t="n">
        <x:v>28</x:v>
      </x:c>
      <x:c r="B34" s="19" t="str">
        <x:v>SBDC and Business Impact NW coaching</x:v>
      </x:c>
      <x:c r="C34" s="19" t="str">
        <x:v>Free</x:v>
      </x:c>
      <x:c r="D34" s="19" t="str">
        <x:v>Current programs</x:v>
      </x:c>
      <x:c r="E34" s="20" t="n">
        <x:v>0</x:v>
      </x:c>
      <x:c r="F34" s="20" t="n">
        <x:v>0</x:v>
      </x:c>
      <x:c r="G34" s="21" t="n">
        <x:v>0</x:v>
      </x:c>
      <x:c r="H34" s="22" t="n">
        <x:f>IF(G34=0,0,IF(ISNUMBER(E34),E34,"Unpriced"))</x:f>
        <x:v>0</x:v>
      </x:c>
      <x:c r="I34" s="22" t="n">
        <x:f>IF(G34=0,0,IF(ISNUMBER(F34),F34,"Unpriced"))</x:f>
        <x:v>0</x:v>
      </x:c>
      <x:c r="J34" s="23"/>
      <x:c r="K34" s="19" t="str">
        <x:v>Advising free</x:v>
      </x:c>
      <x:c r="L34" s="19" t="str">
        <x:v>No-cost SBDC advising and free BINW one-to-one coaching. Individual courses can have separate fees; no paid class enrollment assumed.</x:v>
      </x:c>
      <x:c r="M34" s="19" t="str">
        <x:v>https://wsbdc.org/sbdc-services/ ; https://businessimpactnw.org/grow-your-business/coaching/</x:v>
      </x:c>
      <x:c r="N34" s="36" t="str">
        <x:v>Existing free Juan/SBDC and Lynette/BINW relationships.</x:v>
      </x:c>
    </x:row>
    <x:row r="35" ht="100" customHeight="1">
      <x:c r="A35" s="19" t="n">
        <x:v>29</x:v>
      </x:c>
      <x:c r="B35" s="19" t="str">
        <x:v>L&amp;I, UI, PFML and WA Cares</x:v>
      </x:c>
      <x:c r="C35" s="19" t="str">
        <x:v>Conditional</x:v>
      </x:c>
      <x:c r="D35" s="19" t="str">
        <x:v>Before covered workers</x:v>
      </x:c>
      <x:c r="E35" s="20"/>
      <x:c r="F35" s="20"/>
      <x:c r="G35" s="21" t="n">
        <x:v>0</x:v>
      </x:c>
      <x:c r="H35" s="22" t="n">
        <x:f>IF(G35=0,0,IF(ISNUMBER(E35),E35,"Unpriced"))</x:f>
        <x:v>0</x:v>
      </x:c>
      <x:c r="I35" s="22" t="n">
        <x:f>IF(G35=0,0,IF(ISNUMBER(F35),F35,"Unpriced"))</x:f>
        <x:v>0</x:v>
      </x:c>
      <x:c r="J35" s="23"/>
      <x:c r="K35" s="19" t="str">
        <x:v>Workforce dependent</x:v>
      </x:c>
      <x:c r="L35" s="19" t="str">
        <x:v>Sole owner generally exempt from owner workers comp. Employees and some contractors trigger coverage, wage reporting and premiums/taxes. No payroll supplied; not priced at $0 for hiring.</x:v>
      </x:c>
      <x:c r="M35" s="19" t="str">
        <x:v>https://www.lni.wa.gov/agency/small-business/common-small-business-questions ; https://esd.wa.gov/employer-requirements/quarterly-reports/how-file-your-quarterly-tax-and-wage-reports</x:v>
      </x:c>
      <x:c r="N35" s="36" t="str">
        <x:v>Ask advisers about covered workers; payroll taxes/premiums not waived by mentor program.</x:v>
      </x:c>
    </x:row>
    <x:row r="36" ht="100" customHeight="1">
      <x:c r="A36" s="19" t="n">
        <x:v>30</x:v>
      </x:c>
      <x:c r="B36" s="19" t="str">
        <x:v>School/bank/privacy and regulated-product requirements</x:v>
      </x:c>
      <x:c r="C36" s="19" t="str">
        <x:v>Conditional</x:v>
      </x:c>
      <x:c r="D36" s="19" t="str">
        <x:v>Before applicable pilot</x:v>
      </x:c>
      <x:c r="E36" s="20"/>
      <x:c r="F36" s="20"/>
      <x:c r="G36" s="21" t="n">
        <x:v>0</x:v>
      </x:c>
      <x:c r="H36" s="22" t="n">
        <x:f>IF(G36=0,0,IF(ISNUMBER(E36),E36,"Unpriced"))</x:f>
        <x:v>0</x:v>
      </x:c>
      <x:c r="I36" s="22" t="n">
        <x:f>IF(G36=0,0,IF(ISNUMBER(F36),F36,"Unpriced"))</x:f>
        <x:v>0</x:v>
      </x:c>
      <x:c r="J36" s="23"/>
      <x:c r="K36" s="19" t="str">
        <x:v>Scope / buyer dependent</x:v>
      </x:c>
      <x:c r="L36" s="19" t="str">
        <x:v>FERPA/COPPA/HIPAA, DPA/BAA, SOC 2, ISO 27001, procurement and product-safety duties depend on actual activity. No universal government certification package. No student/bank/health data pilot assumed. Hardware/manufacturing/specialty permits need separate product budget.</x:v>
      </x:c>
      <x:c r="M36" s="19" t="str">
        <x:v>https://studentprivacy.ed.gov/faq/must-school-have-written-agreement-or-contract-community-based-organization-which-it-non ; https://www.hhs.gov/hipaa/for-professionals/faq/are-we-required-to-certify-our-organizations-compliance-with-the-standards/index.html</x:v>
      </x:c>
      <x:c r="N36" s="36" t="str">
        <x:v>Buyer-specific requirements; no blanket certification subsidy verified.</x:v>
      </x:c>
    </x:row>
    <x:row r="37" ht="100" customHeight="1">
      <x:c r="A37" s="19" t="n">
        <x:v>31</x:v>
      </x:c>
      <x:c r="B37" s="19" t="str">
        <x:v>USPTO trademark application</x:v>
      </x:c>
      <x:c r="C37" s="19" t="str">
        <x:v>Optional</x:v>
      </x:c>
      <x:c r="D37" s="19" t="str">
        <x:v>After clearance</x:v>
      </x:c>
      <x:c r="E37" s="20" t="n">
        <x:v>350</x:v>
      </x:c>
      <x:c r="F37" s="20" t="n">
        <x:v>350</x:v>
      </x:c>
      <x:c r="G37" s="21" t="n">
        <x:v>0</x:v>
      </x:c>
      <x:c r="H37" s="22" t="n">
        <x:f>IF(G37=0,0,IF(ISNUMBER(E37),E37,"Unpriced"))</x:f>
        <x:v>0</x:v>
      </x:c>
      <x:c r="I37" s="22" t="n">
        <x:f>IF(G37=0,0,IF(ISNUMBER(F37),F37,"Unpriced"))</x:f>
        <x:v>0</x:v>
      </x:c>
      <x:c r="J37" s="23"/>
      <x:c r="K37" s="19" t="str">
        <x:v>Per mark per class</x:v>
      </x:c>
      <x:c r="L37" s="19" t="str">
        <x:v>Base $350 per class if requirements met. Additional, intent-to-use, legal and future maintenance fees extra. Application is not guaranteed registration; not mandatory to open business.</x:v>
      </x:c>
      <x:c r="M37" s="19" t="str">
        <x:v>https://www.uspto.gov/trademarks/trademark-fee-information</x:v>
      </x:c>
      <x:c r="N37" s="36" t="str">
        <x:v>Communities Rise may help with trademark legal work if accepted; USPTO fees separate.</x:v>
      </x:c>
    </x:row>
    <x:row r="38" ht="100" customHeight="1">
      <x:c r="A38" s="19" t="n">
        <x:v>32</x:v>
      </x:c>
      <x:c r="B38" s="19" t="str">
        <x:v>Provisional patent application</x:v>
      </x:c>
      <x:c r="C38" s="19" t="str">
        <x:v>Optional</x:v>
      </x:c>
      <x:c r="D38" s="19" t="str">
        <x:v>After invention review</x:v>
      </x:c>
      <x:c r="E38" s="20" t="n">
        <x:v>65</x:v>
      </x:c>
      <x:c r="F38" s="20" t="n">
        <x:v>325</x:v>
      </x:c>
      <x:c r="G38" s="21" t="n">
        <x:v>0</x:v>
      </x:c>
      <x:c r="H38" s="22" t="n">
        <x:f>IF(G38=0,0,IF(ISNUMBER(E38),E38,"Unpriced"))</x:f>
        <x:v>0</x:v>
      </x:c>
      <x:c r="I38" s="22" t="n">
        <x:f>IF(G38=0,0,IF(ISNUMBER(F38),F38,"Unpriced"))</x:f>
        <x:v>0</x:v>
      </x:c>
      <x:c r="J38" s="23"/>
      <x:c r="K38" s="19" t="str">
        <x:v>Entity eligibility needed</x:v>
      </x:c>
      <x:c r="L38" s="19" t="str">
        <x:v>Government filing only: micro $65, small $130, standard $325. Eligibility, drafting, prior art and later nonprovisional costs separate. No patent granted by provisional. No mass filing of all concepts.</x:v>
      </x:c>
      <x:c r="M38" s="19" t="str">
        <x:v>https://www.uspto.gov/learning-and-resources/fees-and-payment/uspto-fee-schedule</x:v>
      </x:c>
      <x:c r="N38" s="36" t="str">
        <x:v>Existing TILE intake acknowledged; attorney services free IF matched, filing fees remain inventor expense.</x:v>
      </x:c>
    </x:row>
    <x:row r="39" ht="100" customHeight="1">
      <x:c r="A39" s="19" t="n">
        <x:v>33</x:v>
      </x:c>
      <x:c r="B39" s="19" t="str">
        <x:v>WA, Seattle and federal taxes</x:v>
      </x:c>
      <x:c r="C39" s="19" t="str">
        <x:v>Conditional</x:v>
      </x:c>
      <x:c r="D39" s="19" t="str">
        <x:v>As activity requires</x:v>
      </x:c>
      <x:c r="E39" s="20"/>
      <x:c r="F39" s="20"/>
      <x:c r="G39" s="21" t="n">
        <x:v>0</x:v>
      </x:c>
      <x:c r="H39" s="22" t="n">
        <x:f>IF(G39=0,0,IF(ISNUMBER(E39),E39,"Unpriced"))</x:f>
        <x:v>0</x:v>
      </x:c>
      <x:c r="I39" s="22" t="n">
        <x:f>IF(G39=0,0,IF(ISNUMBER(F39),F39,"Unpriced"))</x:f>
        <x:v>0</x:v>
      </x:c>
      <x:c r="J39" s="23"/>
      <x:c r="K39" s="19" t="str">
        <x:v>Not a fixed startup fee</x:v>
      </x:c>
      <x:c r="L39" s="19" t="str">
        <x:v>Sales tax sourced/classified per sale, WA B&amp;O may apply on gross receipts, Seattle 2026 threshold $2m but reporting still required, federal income/SE taxes depend on facts. Arrears/penalties not determined. No amount owed asserted.</x:v>
      </x:c>
      <x:c r="M39" s="19" t="str">
        <x:v>https://dor.wa.gov/taxes-rates/information-technology-services ; https://seattle.gov/city-finance/business-taxes-and-licenses/business-taxes ; https://www.irs.gov/businesses/small-businesses-self-employed/self-employment-tax-social-security-and-medicare-taxes</x:v>
      </x:c>
      <x:c r="N39" s="36" t="str">
        <x:v>Seattle ABC may help tax/accounting if eligible; tax liabilities not erased by coaching.</x:v>
      </x:c>
    </x:row>
    <x:row r="40">
      <x:c r="A40" s="1"/>
      <x:c r="B40" s="1"/>
      <x:c r="C40" s="1"/>
      <x:c r="D40" s="1"/>
      <x:c r="E40" s="1"/>
      <x:c r="F40" s="1"/>
      <x:c r="G40" s="1"/>
      <x:c r="H40" s="8"/>
      <x:c r="I40" s="8"/>
      <x:c r="J40" s="1"/>
      <x:c r="K40" s="1"/>
      <x:c r="L40" s="1"/>
      <x:c r="M40" s="1"/>
    </x:row>
    <x:row r="41">
      <x:c r="A41" s="1"/>
      <x:c r="B41" s="1"/>
      <x:c r="C41" s="1"/>
      <x:c r="D41" s="1"/>
      <x:c r="E41" s="1"/>
      <x:c r="F41" s="1"/>
      <x:c r="G41" s="1"/>
      <x:c r="H41" s="8"/>
      <x:c r="I41" s="8"/>
      <x:c r="J41" s="1"/>
      <x:c r="K41" s="1"/>
      <x:c r="L41" s="1"/>
      <x:c r="M41" s="1"/>
    </x:row>
    <x:row r="42" ht="28" customHeight="1">
      <x:c r="A42" s="1"/>
      <x:c r="B42" s="10" t="str">
        <x:v>Government opening fees</x:v>
      </x:c>
      <x:c r="C42" s="10"/>
      <x:c r="D42" s="10"/>
      <x:c r="E42" s="10"/>
      <x:c r="F42" s="10"/>
      <x:c r="G42" s="10"/>
      <x:c r="H42" s="11" t="n">
        <x:f>IF(COUNTIFS($C$7:$C$39,"Government",H7:H39,"Unpriced")&gt;0,"Unpriced",SUMIFS(H7:H39,$C$7:$C$39,"Government"))</x:f>
        <x:v>91.5</x:v>
      </x:c>
      <x:c r="I42" s="11" t="n">
        <x:f>IF(COUNTIFS($C$7:$C$39,"Government",I7:I39,"Unpriced")&gt;0,"Unpriced",SUMIFS(I7:I39,$C$7:$C$39,"Government"))</x:f>
        <x:v>128</x:v>
      </x:c>
      <x:c r="J42" s="1"/>
      <x:c r="K42" s="1"/>
      <x:c r="L42" s="1"/>
      <x:c r="M42" s="1"/>
    </x:row>
    <x:row r="43" ht="28" customHeight="1">
      <x:c r="A43" s="1"/>
      <x:c r="B43" s="10" t="str">
        <x:v>Internal operating allowances</x:v>
      </x:c>
      <x:c r="C43" s="10"/>
      <x:c r="D43" s="10"/>
      <x:c r="E43" s="10"/>
      <x:c r="F43" s="10"/>
      <x:c r="G43" s="10"/>
      <x:c r="H43" s="11" t="n">
        <x:f>IF(COUNTIFS($C$7:$C$39,"Reserve",H7:H39,"Unpriced")&gt;0,"Unpriced",SUMIFS(H7:H39,$C$7:$C$39,"Reserve"))</x:f>
        <x:v>2800</x:v>
      </x:c>
      <x:c r="I43" s="11" t="n">
        <x:f>IF(COUNTIFS($C$7:$C$39,"Reserve",I7:I39,"Unpriced")&gt;0,"Unpriced",SUMIFS(I7:I39,$C$7:$C$39,"Reserve"))</x:f>
        <x:v>9500</x:v>
      </x:c>
      <x:c r="J43" s="1"/>
      <x:c r="K43" s="1"/>
      <x:c r="L43" s="1"/>
      <x:c r="M43" s="1"/>
    </x:row>
    <x:row r="44" ht="28" customHeight="1">
      <x:c r="A44" s="1"/>
      <x:c r="B44" s="10" t="str">
        <x:v>Defined budget subtotal</x:v>
      </x:c>
      <x:c r="C44" s="10"/>
      <x:c r="D44" s="10"/>
      <x:c r="E44" s="10"/>
      <x:c r="F44" s="10"/>
      <x:c r="G44" s="10"/>
      <x:c r="H44" s="11" t="n">
        <x:f>IF(COUNTIFS(H7:H39,"Unpriced")&gt;0,"Unpriced",SUM(H7:H39))</x:f>
        <x:v>2891.5</x:v>
      </x:c>
      <x:c r="I44" s="11" t="n">
        <x:f>IF(COUNTIFS(I7:I39,"Unpriced")&gt;0,"Unpriced",SUM(I7:I39))</x:f>
        <x:v>9628</x:v>
      </x:c>
      <x:c r="J44" s="1"/>
      <x:c r="K44" s="1"/>
      <x:c r="L44" s="1"/>
      <x:c r="M44" s="1"/>
    </x:row>
    <x:row r="45" ht="28" customHeight="1">
      <x:c r="A45" s="1"/>
      <x:c r="B45" s="10" t="str">
        <x:v>Defined budget plus online LLC</x:v>
      </x:c>
      <x:c r="C45" s="10"/>
      <x:c r="D45" s="10"/>
      <x:c r="E45" s="10"/>
      <x:c r="F45" s="10"/>
      <x:c r="G45" s="10"/>
      <x:c r="H45" s="11" t="n">
        <x:f>IF(ISNUMBER(H44),H44+E14,"Unpriced")</x:f>
        <x:v>3091.5</x:v>
      </x:c>
      <x:c r="I45" s="11" t="n">
        <x:f>IF(ISNUMBER(I44),I44+F14,"Unpriced")</x:f>
        <x:v>9828</x:v>
      </x:c>
      <x:c r="J45" s="1"/>
      <x:c r="K45" s="1"/>
      <x:c r="L45" s="1"/>
      <x:c r="M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</x:row>
    <x:row r="47" ht="36" customHeight="1">
      <x:c r="A47" s="1"/>
      <x:c r="B47" s="3" t="str">
        <x:v>No numeric full-compliance total: unknown exclusions remain. Do not treat subtotal as an invoice or a legal clearance.</x:v>
      </x:c>
      <x:c r="C47" s="3"/>
      <x:c r="D47" s="3"/>
      <x:c r="E47" s="3"/>
      <x:c r="F47" s="3"/>
      <x:c r="G47" s="3"/>
      <x:c r="H47" s="3"/>
      <x:c r="I47" s="3"/>
      <x:c r="J47" s="1"/>
      <x:c r="K47" s="1"/>
      <x:c r="L47" s="1"/>
      <x:c r="M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</x:row>
  </x:sheetData>
  <x:mergeCells>
    <x:mergeCell ref="A3:I3"/>
    <x:mergeCell ref="A4:I4"/>
    <x:mergeCell ref="B47:I47"/>
  </x:mergeCells>
  <x:conditionalFormatting sqref="H7:I39">
    <x:cfRule type="containsText" dxfId="0" priority="1" operator="containsText" text="Unpriced"/>
  </x:conditionalFormatting>
  <x:dataValidations count="1">
    <x:dataValidation type="list" sqref="G7:G39">
      <x:formula1>"0,1"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43957"/>
  </x:sheetPr>
  <x:sheetViews>
    <x:sheetView showGridLines="0" workbookViewId="0"/>
  </x:sheetViews>
  <x:sheetFormatPr defaultRowHeight="15"/>
  <x:cols>
    <x:col min="1" max="1" width="40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43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What can we fund today?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>
      <x:c r="A4" s="1" t="str">
        <x:v>Business-designated money available</x:v>
      </x:c>
      <x:c r="B4" s="30"/>
      <x:c r="C4" s="1"/>
      <x:c r="D4" s="1"/>
      <x:c r="E4" s="1"/>
      <x:c r="F4" s="1"/>
    </x:row>
    <x:row r="5">
      <x:c r="A5" s="1" t="str">
        <x:v>Amount to keep back</x:v>
      </x:c>
      <x:c r="B5" s="30" t="n">
        <x:v>0</x:v>
      </x:c>
      <x:c r="C5" s="1"/>
      <x:c r="D5" s="1"/>
      <x:c r="E5" s="1"/>
      <x:c r="F5" s="1"/>
    </x:row>
    <x:row r="6">
      <x:c r="A6" s="1" t="str">
        <x:v>Usable business money</x:v>
      </x:c>
      <x:c r="B6" s="8" t="str">
        <x:f>IF(ISNUMBER(B4),MAX(0,B4-B5),"Enter available amount")</x:f>
        <x:v>Enter available amount</x:v>
      </x:c>
      <x:c r="C6" s="1"/>
      <x:c r="D6" s="1"/>
      <x:c r="E6" s="1"/>
      <x:c r="F6" s="1"/>
    </x:row>
    <x:row r="7">
      <x:c r="A7" s="1" t="str">
        <x:v>Remaining after priority reserves</x:v>
      </x:c>
      <x:c r="B7" s="8" t="str">
        <x:f>IF(ISNUMBER(B6),B6-SUM(D12:D13),"Enter available amount")</x:f>
        <x:v>Enter available amount</x:v>
      </x:c>
      <x:c r="C7" s="1"/>
      <x:c r="D7" s="1"/>
      <x:c r="E7" s="1"/>
      <x:c r="F7" s="1"/>
    </x:row>
    <x:row r="8">
      <x:c r="A8" s="1"/>
      <x:c r="B8" s="1"/>
      <x:c r="C8" s="1"/>
      <x:c r="D8" s="1"/>
      <x:c r="E8" s="1"/>
      <x:c r="F8" s="1"/>
    </x:row>
    <x:row r="9" ht="38" customHeight="1">
      <x:c r="A9" s="3" t="str">
        <x:v>Exclude household essentials, sales tax held, refundable customer funds and restricted funds from the amount entered.</x:v>
      </x:c>
      <x:c r="B9" s="3"/>
      <x:c r="C9" s="3"/>
      <x:c r="D9" s="3"/>
      <x:c r="E9" s="3"/>
      <x:c r="F9" s="3"/>
    </x:row>
    <x:row r="10">
      <x:c r="A10" s="1"/>
      <x:c r="B10" s="1"/>
      <x:c r="C10" s="1"/>
      <x:c r="D10" s="1"/>
      <x:c r="E10" s="1"/>
      <x:c r="F10" s="1"/>
    </x:row>
    <x:row r="11" ht="50" customHeight="1">
      <x:c r="A11" s="25" t="str">
        <x:v>Priority item</x:v>
      </x:c>
      <x:c r="B11" s="25" t="str">
        <x:v>Fee to reserve</x:v>
      </x:c>
      <x:c r="C11" s="25" t="str">
        <x:v>Records verified 1/0</x:v>
      </x:c>
      <x:c r="D11" s="25" t="str">
        <x:v>Reserved today</x:v>
      </x:c>
      <x:c r="E11" s="25" t="str">
        <x:v>Still needed</x:v>
      </x:c>
      <x:c r="F11" s="25" t="str">
        <x:v>Next action</x:v>
      </x:c>
    </x:row>
    <x:row r="12" ht="50" customHeight="1">
      <x:c r="A12" s="3" t="str">
        <x:v>WA opening + one trade name</x:v>
      </x:c>
      <x:c r="B12" s="31" t="n">
        <x:v>55</x:v>
      </x:c>
      <x:c r="C12" s="29" t="n">
        <x:v>0</x:v>
      </x:c>
      <x:c r="D12" s="9" t="str">
        <x:f>IF(ISNUMBER($B$6),MIN($B$6,B12),"Enter amount")</x:f>
        <x:v>Enter amount</x:v>
      </x:c>
      <x:c r="E12" s="9" t="str">
        <x:f>IF(ISNUMBER(D12),B12-D12,"Enter amount")</x:f>
        <x:v>Enter amount</x:v>
      </x:c>
      <x:c r="F12" s="3" t="str">
        <x:f>IF(ISNUMBER(D12),IF(E12&gt;0,"Save toward this fee",IF(C12=1,"Review final fee and payment approval","Reserve only; verify existing records")),"Enter business budget first")</x:f>
        <x:v>Enter business budget first</x:v>
      </x:c>
    </x:row>
    <x:row r="13" ht="50" customHeight="1">
      <x:c r="A13" s="3" t="str">
        <x:v>Seattle first year, conservative</x:v>
      </x:c>
      <x:c r="B13" s="31" t="n">
        <x:v>73</x:v>
      </x:c>
      <x:c r="C13" s="29" t="n">
        <x:v>0</x:v>
      </x:c>
      <x:c r="D13" s="9" t="str">
        <x:f>IF(ISNUMBER($B$6),MIN(MAX(0,$B$6-B12),B13),"Enter amount")</x:f>
        <x:v>Enter amount</x:v>
      </x:c>
      <x:c r="E13" s="9" t="str">
        <x:f>IF(ISNUMBER(D13),B13-D13,"Enter amount")</x:f>
        <x:v>Enter amount</x:v>
      </x:c>
      <x:c r="F13" s="3" t="str">
        <x:f>IF(ISNUMBER(D13),IF(E13&gt;0,"Save toward this fee",IF(C13=1,"Review final fee and payment approval","Reserve only; verify existing records")),"Enter business budget first")</x:f>
        <x:v>Enter business budget first</x:v>
      </x:c>
    </x:row>
    <x:row r="14">
      <x:c r="A14" s="1"/>
      <x:c r="B14" s="1"/>
      <x:c r="C14" s="1"/>
      <x:c r="D14" s="1"/>
      <x:c r="E14" s="1"/>
      <x:c r="F14" s="1"/>
    </x:row>
    <x:row r="15" ht="40" customHeight="1">
      <x:c r="A15" s="3" t="str">
        <x:v>This allocates a reserve, not a payment. Government records, actual start date and final transaction charges remain prerequisites.</x:v>
      </x:c>
      <x:c r="B15" s="3"/>
      <x:c r="C15" s="3"/>
      <x:c r="D15" s="3"/>
      <x:c r="E15" s="3"/>
      <x:c r="F15" s="3"/>
    </x:row>
    <x:row r="16" ht="40" customHeight="1">
      <x:c r="A16" s="3" t="str">
        <x:v>The $55 state/name amount is one combined application, not two separate payments. Reduce city fee only after half-rate eligibility is verified.</x:v>
      </x:c>
      <x:c r="B16" s="3"/>
      <x:c r="C16" s="3"/>
      <x:c r="D16" s="3"/>
      <x:c r="E16" s="3"/>
      <x:c r="F16" s="3"/>
    </x:row>
    <x:row r="17">
      <x:c r="A17" s="1"/>
      <x:c r="B17" s="1"/>
      <x:c r="C17" s="1"/>
      <x:c r="D17" s="1"/>
      <x:c r="E17" s="1"/>
      <x:c r="F17" s="1"/>
    </x:row>
    <x:row r="18" ht="52" customHeight="1">
      <x:c r="A18" s="25" t="str">
        <x:v>Do not repurchase</x:v>
      </x:c>
      <x:c r="B18" s="25" t="str">
        <x:v>Evidence</x:v>
      </x:c>
      <x:c r="C18" s="25" t="str">
        <x:v>Money needed now</x:v>
      </x:c>
      <x:c r="D18" s="1"/>
      <x:c r="E18" s="1"/>
      <x:c r="F18" s="1"/>
    </x:row>
    <x:row r="19" ht="52" customHeight="1">
      <x:c r="A19" s="3" t="str">
        <x:v>civiccontinuum.org</x:v>
      </x:c>
      <x:c r="B19" s="3" t="str">
        <x:v>Receipt: paid through 2027-09-26</x:v>
      </x:c>
      <x:c r="C19" s="3" t="str">
        <x:v>No duplicate purchase</x:v>
      </x:c>
      <x:c r="D19" s="1"/>
      <x:c r="E19" s="1"/>
      <x:c r="F19" s="1"/>
    </x:row>
    <x:row r="20" ht="52" customHeight="1">
      <x:c r="A20" s="3" t="str">
        <x:v>EIN</x:v>
      </x:c>
      <x:c r="B20" s="3" t="str">
        <x:v>Existing assignment documented</x:v>
      </x:c>
      <x:c r="C20" s="3" t="str">
        <x:v>No duplicate application</x:v>
      </x:c>
      <x:c r="D20" s="1"/>
      <x:c r="E20" s="1"/>
      <x:c r="F20" s="1"/>
    </x:row>
    <x:row r="21" ht="52" customHeight="1">
      <x:c r="A21" s="3" t="str">
        <x:v>Contact email and websites</x:v>
      </x:c>
      <x:c r="B21" s="3" t="str">
        <x:v>Existing infrastructure</x:v>
      </x:c>
      <x:c r="C21" s="3" t="str">
        <x:v>No duplicate purchase</x:v>
      </x:c>
      <x:c r="D21" s="1"/>
      <x:c r="E21" s="1"/>
      <x:c r="F21" s="1"/>
    </x:row>
    <x:row r="22" ht="52" customHeight="1">
      <x:c r="A22" s="3" t="str">
        <x:v>Insurance and legal review</x:v>
      </x:c>
      <x:c r="B22" s="3" t="str">
        <x:v>No policy / quote verified</x:v>
      </x:c>
      <x:c r="C22" s="3" t="str">
        <x:v>Get scoped quote or free help</x:v>
      </x:c>
      <x:c r="D22" s="1"/>
      <x:c r="E22" s="1"/>
      <x:c r="F22" s="1"/>
    </x:row>
    <x:row r="23">
      <x:c r="A23" s="1"/>
      <x:c r="B23" s="1"/>
      <x:c r="C23" s="1"/>
      <x:c r="D23" s="1"/>
      <x:c r="E23" s="1"/>
      <x:c r="F23" s="1"/>
    </x:row>
    <x:row r="24" ht="40" customHeight="1">
      <x:c r="A24" s="3" t="str">
        <x:v>Optional LLC $200 is not automatically allocated. Review structure, agent consent and annual $70 report before choosing it.</x:v>
      </x:c>
      <x:c r="B24" s="3"/>
      <x:c r="C24" s="3"/>
      <x:c r="D24" s="3"/>
      <x:c r="E24" s="3"/>
      <x:c r="F24" s="3"/>
    </x:row>
    <x:row r="25" ht="40" customHeight="1">
      <x:c r="A25" s="3" t="str">
        <x:v>Before using new money: read the private Money Available Playbook, refresh fees, subtract receipts already paid, and ask only for missing facts.</x:v>
      </x:c>
      <x:c r="B25" s="3"/>
      <x:c r="C25" s="3"/>
      <x:c r="D25" s="3"/>
      <x:c r="E25" s="3"/>
      <x:c r="F25" s="3"/>
    </x:row>
    <x:row r="26" ht="40" customHeight="1">
      <x:c r="A26" s="3" t="str">
        <x:v>This public template contains no cash balance. Never publish a populated copy, financial account details or private payment receipts.</x:v>
      </x:c>
      <x:c r="B26" s="3"/>
      <x:c r="C26" s="3"/>
      <x:c r="D26" s="3"/>
      <x:c r="E26" s="3"/>
      <x:c r="F26" s="3"/>
    </x:row>
    <x:row r="27">
      <x:c r="A27" s="1"/>
      <x:c r="B27" s="1"/>
      <x:c r="C27" s="1"/>
      <x:c r="D27" s="1"/>
      <x:c r="E27" s="1"/>
      <x:c r="F27" s="1"/>
    </x:row>
    <x:row r="28">
      <x:c r="A28" s="1"/>
      <x:c r="B28" s="1"/>
      <x:c r="C28" s="1"/>
      <x:c r="D28" s="1"/>
      <x:c r="E28" s="1"/>
      <x:c r="F28" s="1"/>
    </x:row>
    <x:row r="29">
      <x:c r="A29" s="1"/>
      <x:c r="B29" s="1"/>
      <x:c r="C29" s="1"/>
      <x:c r="D29" s="1"/>
      <x:c r="E29" s="1"/>
      <x:c r="F29" s="1"/>
    </x:row>
    <x:row r="30">
      <x:c r="A30" s="1"/>
      <x:c r="B30" s="1"/>
      <x:c r="C30" s="1"/>
      <x:c r="D30" s="1"/>
      <x:c r="E30" s="1"/>
      <x:c r="F30" s="1"/>
    </x:row>
  </x:sheetData>
  <x:mergeCells>
    <x:mergeCell ref="A9:F9"/>
    <x:mergeCell ref="A15:F15"/>
    <x:mergeCell ref="A16:F16"/>
    <x:mergeCell ref="A24:F24"/>
    <x:mergeCell ref="A25:F25"/>
    <x:mergeCell ref="A26:F26"/>
  </x:mergeCells>
  <x:dataValidations count="1">
    <x:dataValidation type="list" sqref="C12:C13">
      <x:formula1>"0,1"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43957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1" hidden="0" customWidth="1"/>
    <x:col min="2" max="2" width="28" hidden="0" customWidth="1"/>
    <x:col min="3" max="3" width="28" hidden="0" customWidth="1"/>
    <x:col min="4" max="4" width="30" hidden="0" customWidth="1"/>
    <x:col min="5" max="5" width="46" hidden="0" customWidth="1"/>
    <x:col min="6" max="6" width="46" hidden="0" customWidth="1"/>
    <x:col min="7" max="7" width="46" hidden="0" customWidth="1"/>
    <x:col min="8" max="8" width="7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Programs that may reduce our costs</x:v>
      </x:c>
      <x:c r="B2" s="1"/>
      <x:c r="C2" s="1"/>
      <x:c r="D2" s="1"/>
      <x:c r="E2" s="1"/>
      <x:c r="F2" s="1"/>
      <x:c r="G2" s="1"/>
      <x:c r="H2" s="1"/>
    </x:row>
    <x:row r="3" ht="32" customHeight="1">
      <x:c r="A3" s="3" t="str">
        <x:v>Checked October 18, 2026. Free services and competitive grants are separate. Nothing pending is deducted from the budget.</x:v>
      </x:c>
      <x:c r="B3" s="3"/>
      <x:c r="C3" s="3"/>
      <x:c r="D3" s="3"/>
      <x:c r="E3" s="3"/>
      <x:c r="F3" s="3"/>
      <x:c r="G3" s="3"/>
      <x:c r="H3" s="3"/>
    </x:row>
    <x:row r="4" ht="32" customHeight="1">
      <x:c r="A4" s="3" t="str">
        <x:v>No general license-fee waiver or insurance-premium subsidy verified. No award, enrollment, loan or matching commitment created.</x:v>
      </x:c>
      <x:c r="B4" s="3"/>
      <x:c r="C4" s="3"/>
      <x:c r="D4" s="3"/>
      <x:c r="E4" s="3"/>
      <x:c r="F4" s="3"/>
      <x:c r="G4" s="3"/>
      <x:c r="H4" s="3"/>
    </x:row>
    <x:row r="5">
      <x:c r="A5" s="1"/>
      <x:c r="B5" s="1"/>
      <x:c r="C5" s="1"/>
      <x:c r="D5" s="1"/>
      <x:c r="E5" s="1"/>
      <x:c r="F5" s="1"/>
      <x:c r="G5" s="1"/>
      <x:c r="H5" s="1"/>
    </x:row>
    <x:row r="6" ht="42" customHeight="1">
      <x:c r="A6" s="34" t="str">
        <x:v>Program</x:v>
      </x:c>
      <x:c r="B6" s="34" t="str">
        <x:v>Cost it may help</x:v>
      </x:c>
      <x:c r="C6" s="34" t="str">
        <x:v>Type</x:v>
      </x:c>
      <x:c r="D6" s="34" t="str">
        <x:v>Value / limit</x:v>
      </x:c>
      <x:c r="E6" s="34" t="str">
        <x:v>Eligibility / prerequisite</x:v>
      </x:c>
      <x:c r="F6" s="34" t="str">
        <x:v>Our status</x:v>
      </x:c>
      <x:c r="G6" s="34" t="str">
        <x:v>Next action / restriction</x:v>
      </x:c>
      <x:c r="H6" s="34" t="str">
        <x:v>Official source</x:v>
      </x:c>
    </x:row>
    <x:row r="7" ht="120" customHeight="1">
      <x:c r="A7" s="3" t="str">
        <x:v>Seattle OED legal assistance</x:v>
      </x:c>
      <x:c r="B7" s="3" t="str">
        <x:v>Legal / formation / IP guidance</x:v>
      </x:c>
      <x:c r="C7" s="3" t="str">
        <x:v>Free in-kind service</x:v>
      </x:c>
      <x:c r="D7" s="3" t="str">
        <x:v>Scope approved by provider</x:v>
      </x:c>
      <x:c r="E7" s="3" t="str">
        <x:v>Seattle-based business; capacity and scope approval</x:v>
      </x:c>
      <x:c r="F7" s="3" t="str">
        <x:v>Not enrolled in this task</x:v>
      </x:c>
      <x:c r="G7" s="3" t="str">
        <x:v>Use City intake/referral; distinguish advice from document review</x:v>
      </x:c>
      <x:c r="H7" s="3" t="str">
        <x:v>https://seattle.gov/economic-development/grow-a-business/consulting-services/legal-assistance</x:v>
      </x:c>
    </x:row>
    <x:row r="8" ht="120" customHeight="1">
      <x:c r="A8" s="3" t="str">
        <x:v>Communities Rise direct services</x:v>
      </x:c>
      <x:c r="B8" s="3" t="str">
        <x:v>Contracts, formation, licenses, privacy</x:v>
      </x:c>
      <x:c r="C8" s="3" t="str">
        <x:v>Free if eligible</x:v>
      </x:c>
      <x:c r="D8" s="3" t="str">
        <x:v>Accepted engagement scope</x:v>
      </x:c>
      <x:c r="E8" s="3" t="str">
        <x:v>WA registration, financial eligibility and capacity need confirmation</x:v>
      </x:c>
      <x:c r="F8" s="3" t="str">
        <x:v>Lynette referral requested; not accepted</x:v>
      </x:c>
      <x:c r="G8" s="3" t="str">
        <x:v>Confirm intake and substantive document-review scope; patents excluded</x:v>
      </x:c>
      <x:c r="H8" s="3" t="str">
        <x:v>https://communities-rise.org/microenterprise-services/small-business-legal-services/</x:v>
      </x:c>
    </x:row>
    <x:row r="9" ht="120" customHeight="1">
      <x:c r="A9" s="3" t="str">
        <x:v>Seattle ABC consulting</x:v>
      </x:c>
      <x:c r="B9" s="3" t="str">
        <x:v>Accounting, operations, financial plan, branding</x:v>
      </x:c>
      <x:c r="C9" s="3" t="str">
        <x:v>Free in-kind service</x:v>
      </x:c>
      <x:c r="D9" s="3" t="str">
        <x:v>Up to 10 hours/category; up to 40 total</x:v>
      </x:c>
      <x:c r="E9" s="3" t="str">
        <x:v>Active Seattle license; Seattle location, &lt;=2 locations, &lt;=50 staff, revenue under $5m</x:v>
      </x:c>
      <x:c r="F9" s="3" t="str">
        <x:v>City-license prerequisite unverified</x:v>
      </x:c>
      <x:c r="G9" s="3" t="str">
        <x:v>Apply after license proof; no cash or license-fee reimbursement promised</x:v>
      </x:c>
      <x:c r="H9" s="3" t="str">
        <x:v>https://www.seattle.gov/economic-development/grow-a-business/consulting-services/accounting-and-business-consulting-program</x:v>
      </x:c>
    </x:row>
    <x:row r="10" ht="120" customHeight="1">
      <x:c r="A10" s="3" t="str">
        <x:v>SPL legal / Library to Business</x:v>
      </x:c>
      <x:c r="B10" s="3" t="str">
        <x:v>Legal questions and market research</x:v>
      </x:c>
      <x:c r="C10" s="3" t="str">
        <x:v>Free consultation</x:v>
      </x:c>
      <x:c r="D10" s="3" t="str">
        <x:v>Appointment scope only</x:v>
      </x:c>
      <x:c r="E10" s="3" t="str">
        <x:v>Appointment availability; legal consult does not review documents</x:v>
      </x:c>
      <x:c r="F10" s="3" t="str">
        <x:v>Available route; not booked</x:v>
      </x:c>
      <x:c r="G10" s="3" t="str">
        <x:v>Use for initial questions/research; not substitute for contract redline</x:v>
      </x:c>
      <x:c r="H10" s="3" t="str">
        <x:v>https://www.spl.org/programs-and-services/business-and-nonprofit/make-a-business-appointment/business-appointment-legal-consults</x:v>
      </x:c>
    </x:row>
    <x:row r="11" ht="120" customHeight="1">
      <x:c r="A11" s="3" t="str">
        <x:v>WA TILE Patent Pro Bono</x:v>
      </x:c>
      <x:c r="B11" s="3" t="str">
        <x:v>Patent attorney work</x:v>
      </x:c>
      <x:c r="C11" s="3" t="str">
        <x:v>Free legal service if matched</x:v>
      </x:c>
      <x:c r="D11" s="3" t="str">
        <x:v>Attorney services only</x:v>
      </x:c>
      <x:c r="E11" s="3" t="str">
        <x:v>WA residence, household/asset rules, training, actual invention; matching not guaranteed</x:v>
      </x:c>
      <x:c r="F11" s="3" t="str">
        <x:v>Existing application acknowledged; no attorney match established</x:v>
      </x:c>
      <x:c r="G11" s="3" t="str">
        <x:v>Follow existing intake; inventor still pays USPTO and other out-of-pocket costs</x:v>
      </x:c>
      <x:c r="H11" s="3" t="str">
        <x:v>https://law.seattleu.edu/academics/degree-programs/jd/curriculum/tile/wa-tile-patent-pro-bono-hub/</x:v>
      </x:c>
    </x:row>
    <x:row r="12" ht="120" customHeight="1">
      <x:c r="A12" s="3" t="str">
        <x:v>Verizon Digital Ready / LISC</x:v>
      </x:c>
      <x:c r="B12" s="3" t="str">
        <x:v>Potential business funding</x:v>
      </x:c>
      <x:c r="C12" s="3" t="str">
        <x:v>Competitive cash grant</x:v>
      </x:c>
      <x:c r="D12" s="3" t="str">
        <x:v>$10,000 if awarded</x:v>
      </x:c>
      <x:c r="E12" s="3" t="str">
        <x:v>Two eligible 2026 courses/events by Dec 7; for-profit eligibility; finalist verification</x:v>
      </x:c>
      <x:c r="F12" s="3" t="str">
        <x:v>Candidate only; no application or award verified</x:v>
      </x:c>
      <x:c r="G12" s="3" t="str">
        <x:v>Check existing enrollment/application and data requirements before applying; eligible uses need confirmation</x:v>
      </x:c>
      <x:c r="H12" s="3" t="str">
        <x:v>https://digitalready.verizonwireless.com/funding/details</x:v>
      </x:c>
    </x:row>
    <x:row r="13" ht="120" customHeight="1">
      <x:c r="A13" s="3" t="str">
        <x:v>Awesome Foundation Seattle</x:v>
      </x:c>
      <x:c r="B13" s="3" t="str">
        <x:v>Specific local community-benefit project</x:v>
      </x:c>
      <x:c r="C13" s="3" t="str">
        <x:v>Competitive project grant</x:v>
      </x:c>
      <x:c r="D13" s="3" t="str">
        <x:v>Typically $1,000</x:v>
      </x:c>
      <x:c r="E13" s="3" t="str">
        <x:v>Chapter selects projects; local impact and permitted use need fit</x:v>
      </x:c>
      <x:c r="F13" s="3" t="str">
        <x:v>Candidate only; no award verified</x:v>
      </x:c>
      <x:c r="G13" s="3" t="str">
        <x:v>Propose concrete public-benefit project; don't assume general overhead funded</x:v>
      </x:c>
      <x:c r="H13" s="3" t="str">
        <x:v>https://www.awesomefoundation.org/chapters/seattle</x:v>
      </x:c>
    </x:row>
    <x:row r="14" ht="120" customHeight="1">
      <x:c r="A14" s="3" t="str">
        <x:v>Juan / Washington SBDC</x:v>
      </x:c>
      <x:c r="B14" s="3" t="str">
        <x:v>Licensing sequence and business planning</x:v>
      </x:c>
      <x:c r="C14" s="3" t="str">
        <x:v>Existing no-cost adviser</x:v>
      </x:c>
      <x:c r="D14" s="3" t="str">
        <x:v>Advising, not cash award</x:v>
      </x:c>
      <x:c r="E14" s="3" t="str">
        <x:v>Current client relationship</x:v>
      </x:c>
      <x:c r="F14" s="3" t="str">
        <x:v>Existing relationship</x:v>
      </x:c>
      <x:c r="G14" s="3" t="str">
        <x:v>Ask about fee assistance and funding referrals; no fee-waiver or cash commitment established</x:v>
      </x:c>
      <x:c r="H14" s="3" t="str">
        <x:v>https://wsbdc.org/sbdc-services/</x:v>
      </x:c>
    </x:row>
    <x:row r="15" ht="120" customHeight="1">
      <x:c r="A15" s="3" t="str">
        <x:v>Lynette / Business Impact NW</x:v>
      </x:c>
      <x:c r="B15" s="3" t="str">
        <x:v>Free coaching and resource referrals</x:v>
      </x:c>
      <x:c r="C15" s="3" t="str">
        <x:v>Existing free coaching</x:v>
      </x:c>
      <x:c r="D15" s="3" t="str">
        <x:v>Coaching, not cash award</x:v>
      </x:c>
      <x:c r="E15" s="3" t="str">
        <x:v>Orientation / program steps and appointment</x:v>
      </x:c>
      <x:c r="F15" s="3" t="str">
        <x:v>Existing relationship; legal referral reply pending</x:v>
      </x:c>
      <x:c r="G15" s="3" t="str">
        <x:v>Use Tuesday orientation and existing correspondence; do not duplicate coach setup</x:v>
      </x:c>
      <x:c r="H15" s="3" t="str">
        <x:v>https://businessimpactnw.org/grow-your-business/coaching/</x:v>
      </x:c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 ht="34" customHeight="1">
      <x:c r="A17" s="3" t="str">
        <x:v>TILE does not pay patent filing fees. SPL legal consults do not review documents. Seattle ABC requires an active city license.</x:v>
      </x:c>
      <x:c r="B17" s="3"/>
      <x:c r="C17" s="3"/>
      <x:c r="D17" s="3"/>
      <x:c r="E17" s="3"/>
      <x:c r="F17" s="3"/>
      <x:c r="G17" s="3"/>
      <x:c r="H17" s="3"/>
    </x:row>
    <x:row r="18" ht="34" customHeight="1">
      <x:c r="A18" s="3" t="str">
        <x:v>No loan-based capital program or reimbursement-only storefront fund is counted as cash available for this software/service launch.</x:v>
      </x:c>
      <x:c r="B18" s="3"/>
      <x:c r="C18" s="3"/>
      <x:c r="D18" s="3"/>
      <x:c r="E18" s="3"/>
      <x:c r="F18" s="3"/>
      <x:c r="G18" s="3"/>
      <x:c r="H18" s="3"/>
    </x:row>
    <x:row r="19" ht="34" customHeight="1">
      <x:c r="A19" s="3" t="str">
        <x:v>Only record a reduction after actual written acceptance covers the expense, or unrestricted usable grant funds are actually received.</x:v>
      </x:c>
      <x:c r="B19" s="3"/>
      <x:c r="C19" s="3"/>
      <x:c r="D19" s="3"/>
      <x:c r="E19" s="3"/>
      <x:c r="F19" s="3"/>
      <x:c r="G19" s="3"/>
      <x:c r="H19" s="3"/>
    </x:row>
    <x:row r="20">
      <x:c r="A20" s="1"/>
      <x:c r="B20" s="1"/>
      <x:c r="C20" s="1"/>
      <x:c r="D20" s="1"/>
      <x:c r="E20" s="1"/>
      <x:c r="F20" s="1"/>
      <x:c r="G20" s="1"/>
      <x:c r="H20" s="1"/>
    </x:row>
  </x:sheetData>
  <x:mergeCells>
    <x:mergeCell ref="A3:H3"/>
    <x:mergeCell ref="A4:H4"/>
    <x:mergeCell ref="A17:H17"/>
    <x:mergeCell ref="A18:H18"/>
    <x:mergeCell ref="A19:H19"/>
  </x:mergeCells>
  <x:pageMargins left="0.7" right="0.7" top="0.75" bottom="0.75" header="0.3" footer="0.3"/>
</x:worksheet>
</file>