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bf7644140149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dget" sheetId="1" r:id="R9bce90eda17740f2"/>
    <x:sheet xmlns:r="http://schemas.openxmlformats.org/officeDocument/2006/relationships" name="Cost register" sheetId="2" r:id="R8b00dbee37814c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;($#,##0.00);&quot;$0.00&quot;"/>
    <x:numFmt numFmtId="201" formatCode="$#,##0.00"/>
  </x:numFmts>
  <x:fonts count="6">
    <x:font>
      <x:sz val="11"/>
      <x:name val="Carlito"/>
    </x:font>
    <x:font>
      <x:sz val="11"/>
      <x:color rgb="FF18253B"/>
      <x:name val="Arial"/>
    </x:font>
    <x:font>
      <x:b/>
      <x:sz val="16"/>
      <x:color rgb="FF18253B"/>
      <x:name val="Arial"/>
    </x:font>
    <x:font>
      <x:b/>
      <x:sz val="11"/>
      <x:color rgb="FFFFFFFF"/>
      <x:name val="Arial"/>
    </x:font>
    <x:font>
      <x:b/>
      <x:sz val="11"/>
      <x:color rgb="FF18253B"/>
      <x:name val="Arial"/>
    </x:font>
    <x:font>
      <x:sz val="11"/>
      <x:color rgb="FF0000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957"/>
      </x:patternFill>
    </x:fill>
    <x:fill>
      <x:patternFill patternType="solid">
        <x:fgColor rgb="FFE4EBF4"/>
      </x:patternFill>
    </x:fill>
    <x:fill>
      <x:patternFill patternType="solid">
        <x:fgColor rgb="FFFFF0CC"/>
      </x:patternFill>
    </x:fill>
    <x:fill>
      <x:patternFill patternType="solid">
        <x:fgColor rgb="FFFFF7D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20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A51C30"/>
      </x:font>
      <x:fill>
        <x:patternFill patternType="solid">
          <x:bgColor rgb="FFFDE1D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1a6c76e0804565" /><Relationship Type="http://schemas.openxmlformats.org/officeDocument/2006/relationships/theme" Target="/xl/theme/theme1.xml" Id="Re69568d8671047fb" /><Relationship Type="http://schemas.openxmlformats.org/officeDocument/2006/relationships/sharedStrings" Target="/xl/sharedStrings.xml" Id="Reef0f93ed9cb4a16" /><Relationship Type="http://schemas.openxmlformats.org/officeDocument/2006/relationships/worksheet" Target="/xl/worksheets/sheet1.xml" Id="R9bce90eda17740f2" /><Relationship Type="http://schemas.openxmlformats.org/officeDocument/2006/relationships/worksheet" Target="/xl/worksheets/sheet2.xml" Id="R8b00dbee37814c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957"/>
  </x:sheetPr>
  <x:sheetViews>
    <x:sheetView showGridLines="0" workbookViewId="0"/>
  </x:sheetViews>
  <x:sheetFormatPr defaultRowHeight="15"/>
  <x:cols>
    <x:col min="1" max="1" width="65" hidden="0" customWidth="1"/>
    <x:col min="2" max="2" width="23" hidden="0" customWidth="1"/>
    <x:col min="3" max="3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Civic Continuum startup budget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38" customHeight="1">
      <x:c r="A3" s="3" t="str">
        <x:v>October 18, 2026 | USD | Sole proprietor, one Seattle location, no covered workers assumed</x:v>
      </x:c>
      <x:c r="B3" s="3"/>
      <x:c r="C3" s="3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4" customHeight="1">
      <x:c r="A5" s="6" t="str">
        <x:v>Initial fees and 12-month allowances</x:v>
      </x:c>
      <x:c r="B5" s="6" t="str">
        <x:v>Lower amount</x:v>
      </x:c>
      <x:c r="C5" s="6" t="str">
        <x:v>Upper amount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0" customHeight="1">
      <x:c r="A6" s="1" t="str">
        <x:v>Government opening fees only</x:v>
      </x:c>
      <x:c r="B6" s="8" t="n">
        <x:f>'Cost register'!H42</x:f>
        <x:v>91.5</x:v>
      </x:c>
      <x:c r="C6" s="8" t="n">
        <x:f>'Cost register'!I42</x:f>
        <x:v>128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</x:row>
    <x:row r="7" ht="30" customHeight="1">
      <x:c r="A7" s="1" t="str">
        <x:v>Internal operating allowances — NOT QUOTES</x:v>
      </x:c>
      <x:c r="B7" s="8" t="n">
        <x:f>'Cost register'!H43</x:f>
        <x:v>2860</x:v>
      </x:c>
      <x:c r="C7" s="8" t="n">
        <x:f>'Cost register'!I43</x:f>
        <x:v>9800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</x:row>
    <x:row r="8" ht="30" customHeight="1">
      <x:c r="A8" s="12" t="str">
        <x:v>Defined budget subtotal</x:v>
      </x:c>
      <x:c r="B8" s="13" t="n">
        <x:f>'Cost register'!H44</x:f>
        <x:v>2951.5</x:v>
      </x:c>
      <x:c r="C8" s="13" t="n">
        <x:f>'Cost register'!I44</x:f>
        <x:v>9928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</x:row>
    <x:row r="9" ht="30" customHeight="1">
      <x:c r="A9" s="1" t="str">
        <x:v>Optional online LLC formation, additional</x:v>
      </x:c>
      <x:c r="B9" s="8" t="n">
        <x:f>'Cost register'!E14</x:f>
        <x:v>200</x:v>
      </x:c>
      <x:c r="C9" s="8" t="n">
        <x:f>'Cost register'!F14</x:f>
        <x:v>200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</x:row>
    <x:row r="10" ht="30" customHeight="1">
      <x:c r="A10" s="1" t="str">
        <x:v>Defined budget with optional LLC</x:v>
      </x:c>
      <x:c r="B10" s="8" t="n">
        <x:f>'Cost register'!H45</x:f>
        <x:v>3151.5</x:v>
      </x:c>
      <x:c r="C10" s="8" t="n">
        <x:f>'Cost register'!I45</x:f>
        <x:v>10128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</x:row>
    <x:row r="11" ht="3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</x:row>
    <x:row r="12" ht="30" customHeight="1">
      <x:c r="A12" s="15" t="str">
        <x:v>Actual amount owed / full compliance cost</x:v>
      </x:c>
      <x:c r="B12" s="15" t="str">
        <x:v>NOT DETERMINED</x:v>
      </x:c>
      <x:c r="C12" s="15" t="str">
        <x:v>NOT DETERMINED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</x:row>
    <x:row r="14" ht="36" customHeight="1">
      <x:c r="A14" s="3" t="str">
        <x:v>Allowances are editable internal targets. No vendor quotes, invoices, insurance policies or spending commitments established.</x:v>
      </x:c>
      <x:c r="B14" s="3"/>
      <x:c r="C14" s="3"/>
      <x:c r="D14" s="1"/>
      <x:c r="E14" s="1"/>
      <x:c r="F14" s="1"/>
      <x:c r="G14" s="1"/>
      <x:c r="H14" s="1"/>
      <x:c r="I14" s="1"/>
      <x:c r="J14" s="1"/>
      <x:c r="K14" s="1"/>
      <x:c r="L14" s="1"/>
      <x:c r="M14" s="1"/>
    </x:row>
    <x:row r="15" ht="36" customHeight="1">
      <x:c r="A15" s="3" t="str">
        <x:v>Excluded: taxes, arrears, payment/postage charges, 2027 city renewal, payroll, patents, trademarks, equipment and buyer-specific audits.</x:v>
      </x:c>
      <x:c r="B15" s="3"/>
      <x:c r="C15" s="3"/>
      <x:c r="D15" s="1"/>
      <x:c r="E15" s="1"/>
      <x:c r="F15" s="1"/>
      <x:c r="G15" s="1"/>
      <x:c r="H15" s="1"/>
      <x:c r="I15" s="1"/>
      <x:c r="J15" s="1"/>
      <x:c r="K15" s="1"/>
      <x:c r="L15" s="1"/>
      <x:c r="M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</x:row>
    <x:row r="17" ht="34" customHeight="1">
      <x:c r="A17" s="6" t="str">
        <x:v>Recurring or conditional item</x:v>
      </x:c>
      <x:c r="B17" s="6" t="str">
        <x:v>Known fee / status</x:v>
      </x:c>
      <x:c r="C17" s="6" t="str">
        <x:v>When it applies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</x:row>
    <x:row r="18" ht="34" customHeight="1">
      <x:c r="A18" s="3" t="str">
        <x:v>Seattle renewal</x:v>
      </x:c>
      <x:c r="B18" s="3" t="str">
        <x:v>2027 fee not verified</x:v>
      </x:c>
      <x:c r="C18" s="3" t="str">
        <x:v>Annual, due by December 31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</x:row>
    <x:row r="19" ht="34" customHeight="1">
      <x:c r="A19" s="3" t="str">
        <x:v>WA LLC annual report</x:v>
      </x:c>
      <x:c r="B19" s="9" t="n">
        <x:v>70</x:v>
      </x:c>
      <x:c r="C19" s="3" t="str">
        <x:v>Only if LLC formed; anniversary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</x:row>
    <x:row r="20" ht="34" customHeight="1">
      <x:c r="A20" s="3" t="str">
        <x:v>DOR endorsement renewal processing</x:v>
      </x:c>
      <x:c r="B20" s="9" t="n">
        <x:v>5</x:v>
      </x:c>
      <x:c r="C20" s="3" t="str">
        <x:v>Only when applicable endorsements renew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</x:row>
    <x:row r="21" ht="34" customHeight="1">
      <x:c r="A21" s="3" t="str">
        <x:v>Insurance renewal</x:v>
      </x:c>
      <x:c r="B21" s="3" t="str">
        <x:v>Quote required</x:v>
      </x:c>
      <x:c r="C21" s="3" t="str">
        <x:v>Annual; coverage and premiums may change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</x:row>
    <x:row r="22" ht="34" customHeight="1">
      <x:c r="A22" s="3" t="str">
        <x:v>Taxes / payroll / buyer-specific reviews</x:v>
      </x:c>
      <x:c r="B22" s="3" t="str">
        <x:v>Not priced</x:v>
      </x:c>
      <x:c r="C22" s="3" t="str">
        <x:v>Activity, workforce and contract dependent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</x:row>
    <x:row r="24" ht="36" customHeight="1">
      <x:c r="A24" s="3" t="str">
        <x:v>$36.50 city fee requires a genuine July 1-or-later start; otherwise $73. Prior years or penalties may add cost.</x:v>
      </x:c>
      <x:c r="B24" s="3"/>
      <x:c r="C24" s="3"/>
      <x:c r="D24" s="1"/>
      <x:c r="E24" s="1"/>
      <x:c r="F24" s="1"/>
      <x:c r="G24" s="1"/>
      <x:c r="H24" s="1"/>
      <x:c r="I24" s="1"/>
      <x:c r="J24" s="1"/>
      <x:c r="K24" s="1"/>
      <x:c r="L24" s="1"/>
      <x:c r="M24" s="1"/>
    </x:row>
    <x:row r="25" ht="36" customHeight="1">
      <x:c r="A25" s="3" t="str">
        <x:v>One $50 opening application and one $5 trade name assumed. Check existing registrations before applying or paying.</x:v>
      </x:c>
      <x:c r="B25" s="3"/>
      <x:c r="C25" s="3"/>
      <x:c r="D25" s="1"/>
      <x:c r="E25" s="1"/>
      <x:c r="F25" s="1"/>
      <x:c r="G25" s="1"/>
      <x:c r="H25" s="1"/>
      <x:c r="I25" s="1"/>
      <x:c r="J25" s="1"/>
      <x:c r="K25" s="1"/>
      <x:c r="L25" s="1"/>
      <x:c r="M25" s="1"/>
    </x:row>
    <x:row r="26" ht="36" customHeight="1">
      <x:c r="A26" s="3" t="str">
        <x:v>33 checklist entries are compiled research, not 33 confirmed fees from Juan. Free programs do not guarantee eligibility or awards.</x:v>
      </x:c>
      <x:c r="B26" s="3"/>
      <x:c r="C26" s="3"/>
      <x:c r="D26" s="1"/>
      <x:c r="E26" s="1"/>
      <x:c r="F26" s="1"/>
      <x:c r="G26" s="1"/>
      <x:c r="H26" s="1"/>
      <x:c r="I26" s="1"/>
      <x:c r="J26" s="1"/>
      <x:c r="K26" s="1"/>
      <x:c r="L26" s="1"/>
      <x:c r="M26" s="1"/>
    </x:row>
    <x:row r="27" ht="36" customHeight="1">
      <x:c r="A27" s="3" t="str">
        <x:v>Registration is only one part of readiness. No payment, policy or certification guarantees complete protection or customer acceptance.</x:v>
      </x:c>
      <x:c r="B27" s="3"/>
      <x:c r="C27" s="3"/>
      <x:c r="D27" s="1"/>
      <x:c r="E27" s="1"/>
      <x:c r="F27" s="1"/>
      <x:c r="G27" s="1"/>
      <x:c r="H27" s="1"/>
      <x:c r="I27" s="1"/>
      <x:c r="J27" s="1"/>
      <x:c r="K27" s="1"/>
      <x:c r="L27" s="1"/>
      <x:c r="M27" s="1"/>
    </x:row>
    <x:row r="28" ht="36" customHeight="1">
      <x:c r="A28" s="3" t="str">
        <x:v>Use the Cost register to replace allowances with quotes, change inclusion flags, and review the source and applicability for each item.</x:v>
      </x:c>
      <x:c r="B28" s="3"/>
      <x:c r="C28" s="3"/>
      <x:c r="D28" s="1"/>
      <x:c r="E28" s="1"/>
      <x:c r="F28" s="1"/>
      <x:c r="G28" s="1"/>
      <x:c r="H28" s="1"/>
      <x:c r="I28" s="1"/>
      <x:c r="J28" s="1"/>
      <x:c r="K28" s="1"/>
      <x:c r="L28" s="1"/>
      <x:c r="M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</x:row>
  </x:sheetData>
  <x:mergeCells>
    <x:mergeCell ref="A3:C3"/>
    <x:mergeCell ref="A14:C14"/>
    <x:mergeCell ref="A15:C15"/>
    <x:mergeCell ref="A24:C24"/>
    <x:mergeCell ref="A25:C25"/>
    <x:mergeCell ref="A26:C26"/>
    <x:mergeCell ref="A27:C27"/>
    <x:mergeCell ref="A28:C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957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5" hidden="0" customWidth="1"/>
    <x:col min="2" max="2" width="39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3" hidden="0" customWidth="1"/>
    <x:col min="11" max="11" width="25" hidden="0" customWidth="1"/>
    <x:col min="12" max="12" width="85" hidden="0" customWidth="1"/>
    <x:col min="13" max="13" width="8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Itemized costs and applicability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34" customHeight="1">
      <x:c r="A3" s="3" t="str">
        <x:v>Blue numbers are editable inputs. Include: 1 counts in budget, 0 excludes. Blank prices mean unconfirmed, not free.</x:v>
      </x:c>
      <x:c r="B3" s="3"/>
      <x:c r="C3" s="3"/>
      <x:c r="D3" s="3"/>
      <x:c r="E3" s="3"/>
      <x:c r="F3" s="3"/>
      <x:c r="G3" s="3"/>
      <x:c r="H3" s="3"/>
      <x:c r="I3" s="3"/>
      <x:c r="J3" s="1"/>
      <x:c r="K3" s="1"/>
      <x:c r="L3" s="1"/>
      <x:c r="M3" s="1"/>
    </x:row>
    <x:row r="4" ht="32" customHeight="1">
      <x:c r="A4" s="3" t="str">
        <x:v>Government fees verified October 18, 2026. Reserve amounts are internal allowances, not observed market quotes.</x:v>
      </x:c>
      <x:c r="B4" s="3"/>
      <x:c r="C4" s="3"/>
      <x:c r="D4" s="3"/>
      <x:c r="E4" s="3"/>
      <x:c r="F4" s="3"/>
      <x:c r="G4" s="3"/>
      <x:c r="H4" s="3"/>
      <x:c r="I4" s="3"/>
      <x:c r="J4" s="1"/>
      <x:c r="K4" s="1"/>
      <x:c r="L4" s="1"/>
      <x:c r="M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6" customHeight="1">
      <x:c r="A6" s="6" t="str">
        <x:v>ID</x:v>
      </x:c>
      <x:c r="B6" s="6" t="str">
        <x:v>Item</x:v>
      </x:c>
      <x:c r="C6" s="6" t="str">
        <x:v>Cost type</x:v>
      </x:c>
      <x:c r="D6" s="6" t="str">
        <x:v>Timing</x:v>
      </x:c>
      <x:c r="E6" s="6" t="str">
        <x:v>Lower USD</x:v>
      </x:c>
      <x:c r="F6" s="6" t="str">
        <x:v>Upper USD</x:v>
      </x:c>
      <x:c r="G6" s="6" t="str">
        <x:v>Include 1/0</x:v>
      </x:c>
      <x:c r="H6" s="6" t="str">
        <x:v>Counted lower</x:v>
      </x:c>
      <x:c r="I6" s="6" t="str">
        <x:v>Counted upper</x:v>
      </x:c>
      <x:c r="J6" s="1"/>
      <x:c r="K6" s="6" t="str">
        <x:v>Status</x:v>
      </x:c>
      <x:c r="L6" s="6" t="str">
        <x:v>Applicability and limits</x:v>
      </x:c>
      <x:c r="M6" s="6" t="str">
        <x:v>Source / checked 2026-10-18</x:v>
      </x:c>
    </x:row>
    <x:row r="7" ht="100" customHeight="1">
      <x:c r="A7" s="19" t="n">
        <x:v>1</x:v>
      </x:c>
      <x:c r="B7" s="19" t="str">
        <x:v>IRS EIN</x:v>
      </x:c>
      <x:c r="C7" s="19" t="str">
        <x:v>Free</x:v>
      </x:c>
      <x:c r="D7" s="19" t="str">
        <x:v>Already obtained</x:v>
      </x:c>
      <x:c r="E7" s="20" t="n">
        <x:v>0</x:v>
      </x:c>
      <x:c r="F7" s="20" t="n">
        <x:v>0</x:v>
      </x:c>
      <x:c r="G7" s="21" t="n">
        <x:v>0</x:v>
      </x:c>
      <x:c r="H7" s="22" t="n">
        <x:f>IF(G7=0,0,IF(ISNUMBER(E7),E7,"Unpriced"))</x:f>
        <x:v>0</x:v>
      </x:c>
      <x:c r="I7" s="22" t="n">
        <x:f>IF(G7=0,0,IF(ISNUMBER(F7),F7,"Unpriced"))</x:f>
        <x:v>0</x:v>
      </x:c>
      <x:c r="J7" s="23"/>
      <x:c r="K7" s="19" t="str">
        <x:v>No additional fee</x:v>
      </x:c>
      <x:c r="L7" s="19" t="str">
        <x:v>Existing sole-proprietor EIN recorded; do not publish its number or purchase another EIN.</x:v>
      </x:c>
      <x:c r="M7" s="19" t="str">
        <x:v>https://www.irs.gov/businesses/small-businesses-self-employed/get-an-employer-identification-number</x:v>
      </x:c>
    </x:row>
    <x:row r="8" ht="100" customHeight="1">
      <x:c r="A8" s="19" t="n">
        <x:v>2</x:v>
      </x:c>
      <x:c r="B8" s="19" t="str">
        <x:v>WA Business License Application</x:v>
      </x:c>
      <x:c r="C8" s="19" t="str">
        <x:v>Government</x:v>
      </x:c>
      <x:c r="D8" s="19" t="str">
        <x:v>Opening</x:v>
      </x:c>
      <x:c r="E8" s="20" t="n">
        <x:v>50</x:v>
      </x:c>
      <x:c r="F8" s="20" t="n">
        <x:v>50</x:v>
      </x:c>
      <x:c r="G8" s="21" t="n">
        <x:v>1</x:v>
      </x:c>
      <x:c r="H8" s="22" t="n">
        <x:f>IF(G8=0,0,IF(ISNUMBER(E8),E8,"Unpriced"))</x:f>
        <x:v>50</x:v>
      </x:c>
      <x:c r="I8" s="22" t="n">
        <x:f>IF(G8=0,0,IF(ISNUMBER(F8),F8,"Unpriced"))</x:f>
        <x:v>50</x:v>
      </x:c>
      <x:c r="J8" s="23"/>
      <x:c r="K8" s="19" t="str">
        <x:v>Verify prior filing</x:v>
      </x:c>
      <x:c r="L8" s="19" t="str">
        <x:v>One $50 first-location opening application, not one fee per invention. Existing active business updates may use different processing fees.</x:v>
      </x:c>
      <x:c r="M8" s="19" t="str">
        <x:v>https://dor.wa.gov/open-business/apply-business-license/variable-business-license-processing-fees</x:v>
      </x:c>
    </x:row>
    <x:row r="9" ht="100" customHeight="1">
      <x:c r="A9" s="19" t="n">
        <x:v>3</x:v>
      </x:c>
      <x:c r="B9" s="19" t="str">
        <x:v>UBI and DOR tax registration</x:v>
      </x:c>
      <x:c r="C9" s="19" t="str">
        <x:v>Free</x:v>
      </x:c>
      <x:c r="D9" s="19" t="str">
        <x:v>Opening</x:v>
      </x:c>
      <x:c r="E9" s="20" t="n">
        <x:v>0</x:v>
      </x:c>
      <x:c r="F9" s="20" t="n">
        <x:v>0</x:v>
      </x:c>
      <x:c r="G9" s="21" t="n">
        <x:v>0</x:v>
      </x:c>
      <x:c r="H9" s="22" t="n">
        <x:f>IF(G9=0,0,IF(ISNUMBER(E9),E9,"Unpriced"))</x:f>
        <x:v>0</x:v>
      </x:c>
      <x:c r="I9" s="22" t="n">
        <x:f>IF(G9=0,0,IF(ISNUMBER(F9),F9,"Unpriced"))</x:f>
        <x:v>0</x:v>
      </x:c>
      <x:c r="J9" s="23"/>
      <x:c r="K9" s="19" t="str">
        <x:v>Included process</x:v>
      </x:c>
      <x:c r="L9" s="19" t="str">
        <x:v>No separate UBI purchase. Tax registration endorsement is $0; application fee is row 2.</x:v>
      </x:c>
      <x:c r="M9" s="19" t="str">
        <x:v>https://dor.wa.gov/open-business/business-licensing-and-renewals-faqs</x:v>
      </x:c>
    </x:row>
    <x:row r="10" ht="100" customHeight="1">
      <x:c r="A10" s="19" t="n">
        <x:v>4</x:v>
      </x:c>
      <x:c r="B10" s="19" t="str">
        <x:v>Civic Continuum DBA / trade name</x:v>
      </x:c>
      <x:c r="C10" s="19" t="str">
        <x:v>Government</x:v>
      </x:c>
      <x:c r="D10" s="19" t="str">
        <x:v>Opening</x:v>
      </x:c>
      <x:c r="E10" s="20" t="n">
        <x:v>5</x:v>
      </x:c>
      <x:c r="F10" s="20" t="n">
        <x:v>5</x:v>
      </x:c>
      <x:c r="G10" s="21" t="n">
        <x:v>1</x:v>
      </x:c>
      <x:c r="H10" s="22" t="n">
        <x:f>IF(G10=0,0,IF(ISNUMBER(E10),E10,"Unpriced"))</x:f>
        <x:v>5</x:v>
      </x:c>
      <x:c r="I10" s="22" t="n">
        <x:f>IF(G10=0,0,IF(ISNUMBER(F10),F10,"Unpriced"))</x:f>
        <x:v>5</x:v>
      </x:c>
      <x:c r="J10" s="23"/>
      <x:c r="K10" s="19" t="str">
        <x:v>Verify prior registration</x:v>
      </x:c>
      <x:c r="L10" s="19" t="str">
        <x:v>One trade name in the opening application. Trade name registration is not exclusive trademark protection.</x:v>
      </x:c>
      <x:c r="M10" s="19" t="str">
        <x:v>https://dor.wa.gov/manage-business/grow-business/register-trade-names</x:v>
      </x:c>
    </x:row>
    <x:row r="11" ht="100" customHeight="1">
      <x:c r="A11" s="19" t="n">
        <x:v>5</x:v>
      </x:c>
      <x:c r="B11" s="19" t="str">
        <x:v>Additional trading names</x:v>
      </x:c>
      <x:c r="C11" s="19" t="str">
        <x:v>Optional</x:v>
      </x:c>
      <x:c r="D11" s="19" t="str">
        <x:v>When used</x:v>
      </x:c>
      <x:c r="E11" s="20" t="n">
        <x:v>5</x:v>
      </x:c>
      <x:c r="F11" s="20" t="n">
        <x:v>5</x:v>
      </x:c>
      <x:c r="G11" s="21" t="n">
        <x:v>0</x:v>
      </x:c>
      <x:c r="H11" s="22" t="n">
        <x:f>IF(G11=0,0,IF(ISNUMBER(E11),E11,"Unpriced"))</x:f>
        <x:v>0</x:v>
      </x:c>
      <x:c r="I11" s="22" t="n">
        <x:f>IF(G11=0,0,IF(ISNUMBER(F11),F11,"Unpriced"))</x:f>
        <x:v>0</x:v>
      </x:c>
      <x:c r="J11" s="23"/>
      <x:c r="K11" s="19" t="str">
        <x:v>Per additional name</x:v>
      </x:c>
      <x:c r="L11" s="19" t="str">
        <x:v>$5 each if actually used as a business name. Do not register all invention titles automatically. Later applications may also have a processing fee.</x:v>
      </x:c>
      <x:c r="M11" s="19" t="str">
        <x:v>https://dor.wa.gov/manage-business/grow-business/register-trade-names</x:v>
      </x:c>
    </x:row>
    <x:row r="12" ht="100" customHeight="1">
      <x:c r="A12" s="19" t="n">
        <x:v>6</x:v>
      </x:c>
      <x:c r="B12" s="19" t="str">
        <x:v>Seattle business license certificate</x:v>
      </x:c>
      <x:c r="C12" s="19" t="str">
        <x:v>Government</x:v>
      </x:c>
      <x:c r="D12" s="19" t="str">
        <x:v>2026 first year</x:v>
      </x:c>
      <x:c r="E12" s="20" t="n">
        <x:v>36.5</x:v>
      </x:c>
      <x:c r="F12" s="20" t="n">
        <x:v>73</x:v>
      </x:c>
      <x:c r="G12" s="21" t="n">
        <x:v>1</x:v>
      </x:c>
      <x:c r="H12" s="22" t="n">
        <x:f>IF(G12=0,0,IF(ISNUMBER(E12),E12,"Unpriced"))</x:f>
        <x:v>36.5</x:v>
      </x:c>
      <x:c r="I12" s="22" t="n">
        <x:f>IF(G12=0,0,IF(ISNUMBER(F12),F12,"Unpriced"))</x:f>
        <x:v>73</x:v>
      </x:c>
      <x:c r="J12" s="23"/>
      <x:c r="K12" s="19" t="str">
        <x:v>Start date must qualify</x:v>
      </x:c>
      <x:c r="L12" s="19" t="str">
        <x:v>$36.50 only if genuine business start is July 1 or later. Otherwise $73. Assumes Seattle place of business and no exemption. Renew annually by Dec 31; 2027 rate not verified.</x:v>
      </x:c>
      <x:c r="M12" s="19" t="str">
        <x:v>https://www.seattle.gov/city-finance/business-taxes-and-licenses/business-licenses</x:v>
      </x:c>
    </x:row>
    <x:row r="13" ht="100" customHeight="1">
      <x:c r="A13" s="19" t="n">
        <x:v>7</x:v>
      </x:c>
      <x:c r="B13" s="19" t="str">
        <x:v>Online payment fees / mailing cost</x:v>
      </x:c>
      <x:c r="C13" s="19" t="str">
        <x:v>Conditional</x:v>
      </x:c>
      <x:c r="D13" s="19" t="str">
        <x:v>At submission</x:v>
      </x:c>
      <x:c r="E13" s="20"/>
      <x:c r="F13" s="20"/>
      <x:c r="G13" s="21" t="n">
        <x:v>0</x:v>
      </x:c>
      <x:c r="H13" s="22" t="n">
        <x:f>IF(G13=0,0,IF(ISNUMBER(E13),E13,"Unpriced"))</x:f>
        <x:v>0</x:v>
      </x:c>
      <x:c r="I13" s="22" t="n">
        <x:f>IF(G13=0,0,IF(ISNUMBER(F13),F13,"Unpriced"))</x:f>
        <x:v>0</x:v>
      </x:c>
      <x:c r="J13" s="23"/>
      <x:c r="K13" s="19" t="str">
        <x:v>Amount unconfirmed</x:v>
      </x:c>
      <x:c r="L13" s="19" t="str">
        <x:v>City payment service/card/ACH charges or postage may add cost. Government subtotal excludes these. Confirm selected payment method before paying.</x:v>
      </x:c>
      <x:c r="M13" s="19" t="str">
        <x:v>https://www.seattle.gov/city-finance/business-taxes-and-licenses/business-licenses</x:v>
      </x:c>
    </x:row>
    <x:row r="14" ht="100" customHeight="1">
      <x:c r="A14" s="19" t="n">
        <x:v>8</x:v>
      </x:c>
      <x:c r="B14" s="19" t="str">
        <x:v>Optional WA LLC formation online</x:v>
      </x:c>
      <x:c r="C14" s="19" t="str">
        <x:v>Optional</x:v>
      </x:c>
      <x:c r="D14" s="19" t="str">
        <x:v>Before new entity</x:v>
      </x:c>
      <x:c r="E14" s="20" t="n">
        <x:v>200</x:v>
      </x:c>
      <x:c r="F14" s="20" t="n">
        <x:v>200</x:v>
      </x:c>
      <x:c r="G14" s="21" t="n">
        <x:v>0</x:v>
      </x:c>
      <x:c r="H14" s="22" t="n">
        <x:f>IF(G14=0,0,IF(ISNUMBER(E14),E14,"Unpriced"))</x:f>
        <x:v>0</x:v>
      </x:c>
      <x:c r="I14" s="22" t="n">
        <x:f>IF(G14=0,0,IF(ISNUMBER(F14),F14,"Unpriced"))</x:f>
        <x:v>0</x:v>
      </x:c>
      <x:c r="J14" s="23"/>
      <x:c r="K14" s="19" t="str">
        <x:v>Not selected</x:v>
      </x:c>
      <x:c r="L14" s="19" t="str">
        <x:v>$180 formation + $20 online fee. Mail base $180 plus mailing. Additional $100 expedited service optional; not needed for baseline. Sole proprietor does not need an LLC to operate legally.</x:v>
      </x:c>
      <x:c r="M14" s="19" t="str">
        <x:v>https://www.sos.wa.gov/corporations-charities/frequently-asked-questions-faqs/fee-schedules-priority-services ; https://app.leg.wa.gov/wac/default.aspx?cite=434-112-075</x:v>
      </x:c>
    </x:row>
    <x:row r="15" ht="100" customHeight="1">
      <x:c r="A15" s="19" t="n">
        <x:v>9</x:v>
      </x:c>
      <x:c r="B15" s="19" t="str">
        <x:v>LLC initial report with formation</x:v>
      </x:c>
      <x:c r="C15" s="19" t="str">
        <x:v>Optional</x:v>
      </x:c>
      <x:c r="D15" s="19" t="str">
        <x:v>Formation</x:v>
      </x:c>
      <x:c r="E15" s="20" t="n">
        <x:v>0</x:v>
      </x:c>
      <x:c r="F15" s="20" t="n">
        <x:v>0</x:v>
      </x:c>
      <x:c r="G15" s="21" t="n">
        <x:v>0</x:v>
      </x:c>
      <x:c r="H15" s="22" t="n">
        <x:f>IF(G15=0,0,IF(ISNUMBER(E15),E15,"Unpriced"))</x:f>
        <x:v>0</x:v>
      </x:c>
      <x:c r="I15" s="22" t="n">
        <x:f>IF(G15=0,0,IF(ISNUMBER(F15),F15,"Unpriced"))</x:f>
        <x:v>0</x:v>
      </x:c>
      <x:c r="J15" s="23"/>
      <x:c r="K15" s="19" t="str">
        <x:v>File together</x:v>
      </x:c>
      <x:c r="L15" s="19" t="str">
        <x:v>Included if submitted with formation. Deferred report has $10 filing fee and potentially online processing. Do not add twice.</x:v>
      </x:c>
      <x:c r="M15" s="19" t="str">
        <x:v>https://www.sos.wa.gov/corporations-charities/frequently-asked-questions-faqs/fee-schedules-priority-services</x:v>
      </x:c>
    </x:row>
    <x:row r="16" ht="100" customHeight="1">
      <x:c r="A16" s="19" t="n">
        <x:v>10</x:v>
      </x:c>
      <x:c r="B16" s="19" t="str">
        <x:v>LLC annual report</x:v>
      </x:c>
      <x:c r="C16" s="19" t="str">
        <x:v>Optional</x:v>
      </x:c>
      <x:c r="D16" s="19" t="str">
        <x:v>Annual anniversary</x:v>
      </x:c>
      <x:c r="E16" s="20" t="n">
        <x:v>70</x:v>
      </x:c>
      <x:c r="F16" s="20" t="n">
        <x:v>70</x:v>
      </x:c>
      <x:c r="G16" s="21" t="n">
        <x:v>0</x:v>
      </x:c>
      <x:c r="H16" s="22" t="n">
        <x:f>IF(G16=0,0,IF(ISNUMBER(E16),E16,"Unpriced"))</x:f>
        <x:v>0</x:v>
      </x:c>
      <x:c r="I16" s="22" t="n">
        <x:f>IF(G16=0,0,IF(ISNUMBER(F16),F16,"Unpriced"))</x:f>
        <x:v>0</x:v>
      </x:c>
      <x:c r="J16" s="23"/>
      <x:c r="K16" s="19" t="str">
        <x:v>Only if LLC formed</x:v>
      </x:c>
      <x:c r="L16" s="19" t="str">
        <x:v>$70 recurring. First anniversary renewal is separate from initial filing. No annual LLC report for current sole proprietorship.</x:v>
      </x:c>
      <x:c r="M16" s="19" t="str">
        <x:v>https://www.sos.wa.gov/corporations-charities/frequently-asked-questions-faqs/fee-schedules-priority-services</x:v>
      </x:c>
    </x:row>
    <x:row r="17" ht="100" customHeight="1">
      <x:c r="A17" s="19" t="n">
        <x:v>11</x:v>
      </x:c>
      <x:c r="B17" s="19" t="str">
        <x:v>LLC registered agent</x:v>
      </x:c>
      <x:c r="C17" s="19" t="str">
        <x:v>Conditional</x:v>
      </x:c>
      <x:c r="D17" s="19" t="str">
        <x:v>Annual</x:v>
      </x:c>
      <x:c r="E17" s="20"/>
      <x:c r="F17" s="20"/>
      <x:c r="G17" s="21" t="n">
        <x:v>0</x:v>
      </x:c>
      <x:c r="H17" s="22" t="n">
        <x:f>IF(G17=0,0,IF(ISNUMBER(E17),E17,"Unpriced"))</x:f>
        <x:v>0</x:v>
      </x:c>
      <x:c r="I17" s="22" t="n">
        <x:f>IF(G17=0,0,IF(ISNUMBER(F17),F17,"Unpriced"))</x:f>
        <x:v>0</x:v>
      </x:c>
      <x:c r="J17" s="23"/>
      <x:c r="K17" s="19" t="str">
        <x:v>Eligibility / quote</x:v>
      </x:c>
      <x:c r="L17" s="19" t="str">
        <x:v>No government requirement to buy a commercial agent. Eligible consenting noncommercial agent may cost $0; otherwise obtain quote. WA physical address and availability required; filing details public.</x:v>
      </x:c>
      <x:c r="M17" s="19" t="str">
        <x:v>https://www.sos.wa.gov/corporations-charities/frequently-asked-questions-faqs/contact-info-requirements-updates</x:v>
      </x:c>
    </x:row>
    <x:row r="18" ht="100" customHeight="1">
      <x:c r="A18" s="19" t="n">
        <x:v>12</x:v>
      </x:c>
      <x:c r="B18" s="19" t="str">
        <x:v>DOR endorsement renewal processing</x:v>
      </x:c>
      <x:c r="C18" s="19" t="str">
        <x:v>Conditional</x:v>
      </x:c>
      <x:c r="D18" s="19" t="str">
        <x:v>Annual if applicable</x:v>
      </x:c>
      <x:c r="E18" s="20" t="n">
        <x:v>5</x:v>
      </x:c>
      <x:c r="F18" s="20" t="n">
        <x:v>5</x:v>
      </x:c>
      <x:c r="G18" s="21" t="n">
        <x:v>0</x:v>
      </x:c>
      <x:c r="H18" s="22" t="n">
        <x:f>IF(G18=0,0,IF(ISNUMBER(E18),E18,"Unpriced"))</x:f>
        <x:v>0</x:v>
      </x:c>
      <x:c r="I18" s="22" t="n">
        <x:f>IF(G18=0,0,IF(ISNUMBER(F18),F18,"Unpriced"))</x:f>
        <x:v>0</x:v>
      </x:c>
      <x:c r="J18" s="23"/>
      <x:c r="K18" s="19" t="str">
        <x:v>Not universal</x:v>
      </x:c>
      <x:c r="L18" s="19" t="str">
        <x:v>$5 processing when renewing endorsements, plus endorsement charges. Trade name remains registered indefinitely. Not a separate annual UBI fee; Seattle renewal is separate.</x:v>
      </x:c>
      <x:c r="M18" s="19" t="str">
        <x:v>https://dor.wa.gov/open-business/apply-business-license/variable-business-license-processing-fees</x:v>
      </x:c>
    </x:row>
    <x:row r="19" ht="100" customHeight="1">
      <x:c r="A19" s="19" t="n">
        <x:v>13</x:v>
      </x:c>
      <x:c r="B19" s="19" t="str">
        <x:v>FinCEN BOI / CTA filing</x:v>
      </x:c>
      <x:c r="C19" s="19" t="str">
        <x:v>Free</x:v>
      </x:c>
      <x:c r="D19" s="19" t="str">
        <x:v>Current US setup</x:v>
      </x:c>
      <x:c r="E19" s="20" t="n">
        <x:v>0</x:v>
      </x:c>
      <x:c r="F19" s="20" t="n">
        <x:v>0</x:v>
      </x:c>
      <x:c r="G19" s="21" t="n">
        <x:v>0</x:v>
      </x:c>
      <x:c r="H19" s="22" t="n">
        <x:f>IF(G19=0,0,IF(ISNUMBER(E19),E19,"Unpriced"))</x:f>
        <x:v>0</x:v>
      </x:c>
      <x:c r="I19" s="22" t="n">
        <x:f>IF(G19=0,0,IF(ISNUMBER(F19),F19,"Unpriced"))</x:f>
        <x:v>0</x:v>
      </x:c>
      <x:c r="J19" s="23"/>
      <x:c r="K19" s="19" t="str">
        <x:v>Domestic exemption</x:v>
      </x:c>
      <x:c r="L19" s="19" t="str">
        <x:v>Current FinCEN page exempts US-created companies; current sole proprietor has no domestic-company BOI filing to purchase. Recheck if structure or rules change.</x:v>
      </x:c>
      <x:c r="M19" s="19" t="str">
        <x:v>https://www.fincen.gov/boi</x:v>
      </x:c>
    </x:row>
    <x:row r="20" ht="100" customHeight="1">
      <x:c r="A20" s="19" t="n">
        <x:v>14</x:v>
      </x:c>
      <x:c r="B20" s="19" t="str">
        <x:v>General liability insurance</x:v>
      </x:c>
      <x:c r="C20" s="19" t="str">
        <x:v>Reserve</x:v>
      </x:c>
      <x:c r="D20" s="19" t="str">
        <x:v>12 months</x:v>
      </x:c>
      <x:c r="E20" s="20" t="n">
        <x:v>300</x:v>
      </x:c>
      <x:c r="F20" s="20" t="n">
        <x:v>900</x:v>
      </x:c>
      <x:c r="G20" s="21" t="n">
        <x:v>1</x:v>
      </x:c>
      <x:c r="H20" s="22" t="n">
        <x:f>IF(G20=0,0,IF(ISNUMBER(E20),E20,"Unpriced"))</x:f>
        <x:v>300</x:v>
      </x:c>
      <x:c r="I20" s="22" t="n">
        <x:f>IF(G20=0,0,IF(ISNUMBER(F20),F20,"Unpriced"))</x:f>
        <x:v>900</x:v>
      </x:c>
      <x:c r="J20" s="23"/>
      <x:c r="K20" s="19" t="str">
        <x:v>Unquoted allowance</x:v>
      </x:c>
      <x:c r="L20" s="19" t="str">
        <x:v>Internal budget allowance, not insurer pricing. Confirm operations, limits, deductibles, exclusions and customer COI requirements. Premium may exceed allowance.</x:v>
      </x:c>
      <x:c r="M20" s="19" t="str">
        <x:v>https://www.insurance.wa.gov/insurance-resources/business-insurance/learn-how-business-insurance-works</x:v>
      </x:c>
    </x:row>
    <x:row r="21" ht="100" customHeight="1">
      <x:c r="A21" s="19" t="n">
        <x:v>15</x:v>
      </x:c>
      <x:c r="B21" s="19" t="str">
        <x:v>Technology E&amp;O / professional liability</x:v>
      </x:c>
      <x:c r="C21" s="19" t="str">
        <x:v>Reserve</x:v>
      </x:c>
      <x:c r="D21" s="19" t="str">
        <x:v>12 months</x:v>
      </x:c>
      <x:c r="E21" s="20" t="n">
        <x:v>600</x:v>
      </x:c>
      <x:c r="F21" s="20" t="n">
        <x:v>1800</x:v>
      </x:c>
      <x:c r="G21" s="21" t="n">
        <x:v>1</x:v>
      </x:c>
      <x:c r="H21" s="22" t="n">
        <x:f>IF(G21=0,0,IF(ISNUMBER(E21),E21,"Unpriced"))</x:f>
        <x:v>600</x:v>
      </x:c>
      <x:c r="I21" s="22" t="n">
        <x:f>IF(G21=0,0,IF(ISNUMBER(F21),F21,"Unpriced"))</x:f>
        <x:v>1800</x:v>
      </x:c>
      <x:c r="J21" s="23"/>
      <x:c r="K21" s="19" t="str">
        <x:v>Unquoted allowance</x:v>
      </x:c>
      <x:c r="L21" s="19" t="str">
        <x:v>Internal allowance for professional error claims. Obtain quote; compare combined technology E&amp;O/cyber policy so overlapping coverage is not paid twice.</x:v>
      </x:c>
      <x:c r="M21" s="19" t="str">
        <x:v>https://www.insurance.wa.gov/insurance-resources/business-insurance/learn-how-business-insurance-works</x:v>
      </x:c>
    </x:row>
    <x:row r="22" ht="100" customHeight="1">
      <x:c r="A22" s="19" t="n">
        <x:v>16</x:v>
      </x:c>
      <x:c r="B22" s="19" t="str">
        <x:v>Cyber / privacy insurance</x:v>
      </x:c>
      <x:c r="C22" s="19" t="str">
        <x:v>Reserve</x:v>
      </x:c>
      <x:c r="D22" s="19" t="str">
        <x:v>12 months</x:v>
      </x:c>
      <x:c r="E22" s="20" t="n">
        <x:v>600</x:v>
      </x:c>
      <x:c r="F22" s="20" t="n">
        <x:v>1800</x:v>
      </x:c>
      <x:c r="G22" s="21" t="n">
        <x:v>1</x:v>
      </x:c>
      <x:c r="H22" s="22" t="n">
        <x:f>IF(G22=0,0,IF(ISNUMBER(E22),E22,"Unpriced"))</x:f>
        <x:v>600</x:v>
      </x:c>
      <x:c r="I22" s="22" t="n">
        <x:f>IF(G22=0,0,IF(ISNUMBER(F22),F22,"Unpriced"))</x:f>
        <x:v>1800</x:v>
      </x:c>
      <x:c r="J22" s="23"/>
      <x:c r="K22" s="19" t="str">
        <x:v>Unquoted allowance</x:v>
      </x:c>
      <x:c r="L22" s="19" t="str">
        <x:v>Internal allowance, not quote. May be bundled with row 15; replace both with actual combined premium if bundled.</x:v>
      </x:c>
      <x:c r="M22" s="19" t="str">
        <x:v>https://www.insurance.wa.gov/insurance-resources/business-insurance/learn-how-business-insurance-works</x:v>
      </x:c>
    </x:row>
    <x:row r="23" ht="100" customHeight="1">
      <x:c r="A23" s="19" t="n">
        <x:v>17</x:v>
      </x:c>
      <x:c r="B23" s="19" t="str">
        <x:v>Contract, privacy and license legal review</x:v>
      </x:c>
      <x:c r="C23" s="19" t="str">
        <x:v>Reserve</x:v>
      </x:c>
      <x:c r="D23" s="19" t="str">
        <x:v>Initial scoped work</x:v>
      </x:c>
      <x:c r="E23" s="20" t="n">
        <x:v>500</x:v>
      </x:c>
      <x:c r="F23" s="20" t="n">
        <x:v>2000</x:v>
      </x:c>
      <x:c r="G23" s="21" t="n">
        <x:v>1</x:v>
      </x:c>
      <x:c r="H23" s="22" t="n">
        <x:f>IF(G23=0,0,IF(ISNUMBER(E23),E23,"Unpriced"))</x:f>
        <x:v>500</x:v>
      </x:c>
      <x:c r="I23" s="22" t="n">
        <x:f>IF(G23=0,0,IF(ISNUMBER(F23),F23,"Unpriced"))</x:f>
        <x:v>2000</x:v>
      </x:c>
      <x:c r="J23" s="23"/>
      <x:c r="K23" s="19" t="str">
        <x:v>Quote / free intake pending</x:v>
      </x:c>
      <x:c r="L23" s="19" t="str">
        <x:v>Internal paid fallback allowance. Eligible Communities Rise service may be free, but eligibility/availability not confirmed. Patent matters excluded. Scope and quote before engagement.</x:v>
      </x:c>
      <x:c r="M23" s="19" t="str">
        <x:v>https://communities-rise.org/microenterprise-services/small-business-legal-services/</x:v>
      </x:c>
    </x:row>
    <x:row r="24" ht="100" customHeight="1">
      <x:c r="A24" s="19" t="n">
        <x:v>18</x:v>
      </x:c>
      <x:c r="B24" s="19" t="str">
        <x:v>Accountant / bookkeeping and tax setup</x:v>
      </x:c>
      <x:c r="C24" s="19" t="str">
        <x:v>Reserve</x:v>
      </x:c>
      <x:c r="D24" s="19" t="str">
        <x:v>Initial support</x:v>
      </x:c>
      <x:c r="E24" s="20" t="n">
        <x:v>300</x:v>
      </x:c>
      <x:c r="F24" s="20" t="n">
        <x:v>900</x:v>
      </x:c>
      <x:c r="G24" s="21" t="n">
        <x:v>1</x:v>
      </x:c>
      <x:c r="H24" s="22" t="n">
        <x:f>IF(G24=0,0,IF(ISNUMBER(E24),E24,"Unpriced"))</x:f>
        <x:v>300</x:v>
      </x:c>
      <x:c r="I24" s="22" t="n">
        <x:f>IF(G24=0,0,IF(ISNUMBER(F24),F24,"Unpriced"))</x:f>
        <x:v>900</x:v>
      </x:c>
      <x:c r="J24" s="23"/>
      <x:c r="K24" s="19" t="str">
        <x:v>Unquoted allowance</x:v>
      </x:c>
      <x:c r="L24" s="19" t="str">
        <x:v>Internal scoped setup/review allowance, not ongoing monthly bookkeeping or all tax returns. Taxes themselves are separate.</x:v>
      </x:c>
      <x:c r="M24" s="19" t="str">
        <x:v>https://dor.wa.gov/taxes-rates/information-technology-services ; https://www.irs.gov/businesses/small-businesses-self-employed/self-employment-tax-social-security-and-medicare-taxes</x:v>
      </x:c>
    </x:row>
    <x:row r="25" ht="100" customHeight="1">
      <x:c r="A25" s="19" t="n">
        <x:v>19</x:v>
      </x:c>
      <x:c r="B25" s="19" t="str">
        <x:v>Independent security and accessibility review</x:v>
      </x:c>
      <x:c r="C25" s="19" t="str">
        <x:v>Reserve</x:v>
      </x:c>
      <x:c r="D25" s="19" t="str">
        <x:v>Initial limited review</x:v>
      </x:c>
      <x:c r="E25" s="20" t="n">
        <x:v>500</x:v>
      </x:c>
      <x:c r="F25" s="20" t="n">
        <x:v>2000</x:v>
      </x:c>
      <x:c r="G25" s="21" t="n">
        <x:v>1</x:v>
      </x:c>
      <x:c r="H25" s="22" t="n">
        <x:f>IF(G25=0,0,IF(ISNUMBER(E25),E25,"Unpriced"))</x:f>
        <x:v>500</x:v>
      </x:c>
      <x:c r="I25" s="22" t="n">
        <x:f>IF(G25=0,0,IF(ISNUMBER(F25),F25,"Unpriced"))</x:f>
        <x:v>2000</x:v>
      </x:c>
      <x:c r="J25" s="23"/>
      <x:c r="K25" s="19" t="str">
        <x:v>Unquoted allowance</x:v>
      </x:c>
      <x:c r="L25" s="19" t="str">
        <x:v>Internal limited-review allowance. Not a comprehensive penetration test, certification or approval for school/bank production data. Broader work needs separate quote.</x:v>
      </x:c>
      <x:c r="M25" s="19" t="str">
        <x:v>Internal planning allowance; define scope with prospective customer.</x:v>
      </x:c>
    </x:row>
    <x:row r="26" ht="100" customHeight="1">
      <x:c r="A26" s="19" t="n">
        <x:v>20</x:v>
      </x:c>
      <x:c r="B26" s="19" t="str">
        <x:v>Domain, email and hosting</x:v>
      </x:c>
      <x:c r="C26" s="19" t="str">
        <x:v>Reserve</x:v>
      </x:c>
      <x:c r="D26" s="19" t="str">
        <x:v>12 months</x:v>
      </x:c>
      <x:c r="E26" s="20" t="n">
        <x:v>60</x:v>
      </x:c>
      <x:c r="F26" s="20" t="n">
        <x:v>300</x:v>
      </x:c>
      <x:c r="G26" s="21" t="n">
        <x:v>1</x:v>
      </x:c>
      <x:c r="H26" s="22" t="n">
        <x:f>IF(G26=0,0,IF(ISNUMBER(E26),E26,"Unpriced"))</x:f>
        <x:v>60</x:v>
      </x:c>
      <x:c r="I26" s="22" t="n">
        <x:f>IF(G26=0,0,IF(ISNUMBER(F26),F26,"Unpriced"))</x:f>
        <x:v>300</x:v>
      </x:c>
      <x:c r="J26" s="23"/>
      <x:c r="K26" s="19" t="str">
        <x:v>Incremental allowance</x:v>
      </x:c>
      <x:c r="L26" s="19" t="str">
        <x:v>Internal allowance for ongoing business infrastructure. Existing paid subscriptions and actual bills not reconciled. Do not buy duplicate hosting. AI API usage, personal ChatGPT plan, internet and equipment excluded.</x:v>
      </x:c>
      <x:c r="M26" s="19" t="str">
        <x:v>Internal planning allowance; existing vendor bills needed.</x:v>
      </x:c>
    </x:row>
    <x:row r="27" ht="100" customHeight="1">
      <x:c r="A27" s="19" t="n">
        <x:v>21</x:v>
      </x:c>
      <x:c r="B27" s="19" t="str">
        <x:v>Business bank account</x:v>
      </x:c>
      <x:c r="C27" s="19" t="str">
        <x:v>Conditional</x:v>
      </x:c>
      <x:c r="D27" s="19" t="str">
        <x:v>Opening / monthly</x:v>
      </x:c>
      <x:c r="E27" s="20"/>
      <x:c r="F27" s="20"/>
      <x:c r="G27" s="21" t="n">
        <x:v>0</x:v>
      </x:c>
      <x:c r="H27" s="22" t="n">
        <x:f>IF(G27=0,0,IF(ISNUMBER(E27),E27,"Unpriced"))</x:f>
        <x:v>0</x:v>
      </x:c>
      <x:c r="I27" s="22" t="n">
        <x:f>IF(G27=0,0,IF(ISNUMBER(F27),F27,"Unpriced"))</x:f>
        <x:v>0</x:v>
      </x:c>
      <x:c r="J27" s="23"/>
      <x:c r="K27" s="19" t="str">
        <x:v>Terms needed</x:v>
      </x:c>
      <x:c r="L27" s="19" t="str">
        <x:v>No universal government fee. Choose account after legal identity/licensing facts are ready. Minimum deposit is cash retained as an asset, not a fee; bank charges unconfirmed.</x:v>
      </x:c>
      <x:c r="M27" s="19" t="str">
        <x:v>No bank selected; obtain fee schedule.</x:v>
      </x:c>
    </x:row>
    <x:row r="28" ht="100" customHeight="1">
      <x:c r="A28" s="19" t="n">
        <x:v>22</x:v>
      </x:c>
      <x:c r="B28" s="19" t="str">
        <x:v>Basic business cards / flyer</x:v>
      </x:c>
      <x:c r="C28" s="19" t="str">
        <x:v>Reserve</x:v>
      </x:c>
      <x:c r="D28" s="19" t="str">
        <x:v>Initial</x:v>
      </x:c>
      <x:c r="E28" s="20" t="n">
        <x:v>0</x:v>
      </x:c>
      <x:c r="F28" s="20" t="n">
        <x:v>100</x:v>
      </x:c>
      <x:c r="G28" s="21" t="n">
        <x:v>1</x:v>
      </x:c>
      <x:c r="H28" s="22" t="n">
        <x:f>IF(G28=0,0,IF(ISNUMBER(E28),E28,"Unpriced"))</x:f>
        <x:v>0</x:v>
      </x:c>
      <x:c r="I28" s="22" t="n">
        <x:f>IF(G28=0,0,IF(ISNUMBER(F28),F28,"Unpriced"))</x:f>
        <x:v>100</x:v>
      </x:c>
      <x:c r="J28" s="23"/>
      <x:c r="K28" s="19" t="str">
        <x:v>Optional allowance</x:v>
      </x:c>
      <x:c r="L28" s="19" t="str">
        <x:v>Digital outreach can be $0. Internal maximum allowance for small print run, not required registration or a vendor quote.</x:v>
      </x:c>
      <x:c r="M28" s="19" t="str">
        <x:v>Internal planning allowance.</x:v>
      </x:c>
    </x:row>
    <x:row r="29" ht="100" customHeight="1">
      <x:c r="A29" s="19" t="n">
        <x:v>23</x:v>
      </x:c>
      <x:c r="B29" s="19" t="str">
        <x:v>SAM.gov registration and UEI</x:v>
      </x:c>
      <x:c r="C29" s="19" t="str">
        <x:v>Free</x:v>
      </x:c>
      <x:c r="D29" s="19" t="str">
        <x:v>Federal awards</x:v>
      </x:c>
      <x:c r="E29" s="20" t="n">
        <x:v>0</x:v>
      </x:c>
      <x:c r="F29" s="20" t="n">
        <x:v>0</x:v>
      </x:c>
      <x:c r="G29" s="21" t="n">
        <x:v>0</x:v>
      </x:c>
      <x:c r="H29" s="22" t="n">
        <x:f>IF(G29=0,0,IF(ISNUMBER(E29),E29,"Unpriced"))</x:f>
        <x:v>0</x:v>
      </x:c>
      <x:c r="I29" s="22" t="n">
        <x:f>IF(G29=0,0,IF(ISNUMBER(F29),F29,"Unpriced"))</x:f>
        <x:v>0</x:v>
      </x:c>
      <x:c r="J29" s="23"/>
      <x:c r="K29" s="19" t="str">
        <x:v>Optional / eligibility</x:v>
      </x:c>
      <x:c r="L29" s="19" t="str">
        <x:v>Direct government registration/renewal and UEI free. Not a general business license and not a promise of an award. No paid registration intermediary needed.</x:v>
      </x:c>
      <x:c r="M29" s="19" t="str">
        <x:v>https://sam.gov/SAM/?PS=BA</x:v>
      </x:c>
    </x:row>
    <x:row r="30" ht="100" customHeight="1">
      <x:c r="A30" s="19" t="n">
        <x:v>24</x:v>
      </x:c>
      <x:c r="B30" s="19" t="str">
        <x:v>NAICS classification code</x:v>
      </x:c>
      <x:c r="C30" s="19" t="str">
        <x:v>Free</x:v>
      </x:c>
      <x:c r="D30" s="19" t="str">
        <x:v>Registration / bids</x:v>
      </x:c>
      <x:c r="E30" s="20" t="n">
        <x:v>0</x:v>
      </x:c>
      <x:c r="F30" s="20" t="n">
        <x:v>0</x:v>
      </x:c>
      <x:c r="G30" s="21" t="n">
        <x:v>0</x:v>
      </x:c>
      <x:c r="H30" s="22" t="n">
        <x:f>IF(G30=0,0,IF(ISNUMBER(E30),E30,"Unpriced"))</x:f>
        <x:v>0</x:v>
      </x:c>
      <x:c r="I30" s="22" t="n">
        <x:f>IF(G30=0,0,IF(ISNUMBER(F30),F30,"Unpriced"))</x:f>
        <x:v>0</x:v>
      </x:c>
      <x:c r="J30" s="23"/>
      <x:c r="K30" s="19" t="str">
        <x:v>Code, not license</x:v>
      </x:c>
      <x:c r="L30" s="19" t="str">
        <x:v>Industry classification selected to match actual activity. No government code purchase or certificate fee. It does not authorize regulated professional services.</x:v>
      </x:c>
      <x:c r="M30" s="19" t="str">
        <x:v>https://des.wa.gov/do-business-state/how-work-state/register-bid-opportunities</x:v>
      </x:c>
    </x:row>
    <x:row r="31" ht="100" customHeight="1">
      <x:c r="A31" s="19" t="n">
        <x:v>25</x:v>
      </x:c>
      <x:c r="B31" s="19" t="str">
        <x:v>WEBS vendor registration</x:v>
      </x:c>
      <x:c r="C31" s="19" t="str">
        <x:v>Free</x:v>
      </x:c>
      <x:c r="D31" s="19" t="str">
        <x:v>WA procurement</x:v>
      </x:c>
      <x:c r="E31" s="20" t="n">
        <x:v>0</x:v>
      </x:c>
      <x:c r="F31" s="20" t="n">
        <x:v>0</x:v>
      </x:c>
      <x:c r="G31" s="21" t="n">
        <x:v>0</x:v>
      </x:c>
      <x:c r="H31" s="22" t="n">
        <x:f>IF(G31=0,0,IF(ISNUMBER(E31),E31,"Unpriced"))</x:f>
        <x:v>0</x:v>
      </x:c>
      <x:c r="I31" s="22" t="n">
        <x:f>IF(G31=0,0,IF(ISNUMBER(F31),F31,"Unpriced"))</x:f>
        <x:v>0</x:v>
      </x:c>
      <x:c r="J31" s="23"/>
      <x:c r="K31" s="19" t="str">
        <x:v>When bidding</x:v>
      </x:c>
      <x:c r="L31" s="19" t="str">
        <x:v>Free registration; bid eligibility/agency requirements separate. Not a contract award or statewide business license.</x:v>
      </x:c>
      <x:c r="M31" s="19" t="str">
        <x:v>https://des.wa.gov/do-business-state/how-work-state/register-bid-opportunities ; https://careerconnectwa.org/apply-for-funding/</x:v>
      </x:c>
    </x:row>
    <x:row r="32" ht="100" customHeight="1">
      <x:c r="A32" s="19" t="n">
        <x:v>26</x:v>
      </x:c>
      <x:c r="B32" s="19" t="str">
        <x:v>OMWBE state/federal certification</x:v>
      </x:c>
      <x:c r="C32" s="19" t="str">
        <x:v>Free</x:v>
      </x:c>
      <x:c r="D32" s="19" t="str">
        <x:v>If eligible</x:v>
      </x:c>
      <x:c r="E32" s="20" t="n">
        <x:v>0</x:v>
      </x:c>
      <x:c r="F32" s="20" t="n">
        <x:v>0</x:v>
      </x:c>
      <x:c r="G32" s="21" t="n">
        <x:v>0</x:v>
      </x:c>
      <x:c r="H32" s="22" t="n">
        <x:f>IF(G32=0,0,IF(ISNUMBER(E32),E32,"Unpriced"))</x:f>
        <x:v>0</x:v>
      </x:c>
      <x:c r="I32" s="22" t="n">
        <x:f>IF(G32=0,0,IF(ISNUMBER(F32),F32,"Unpriced"))</x:f>
        <x:v>0</x:v>
      </x:c>
      <x:c r="J32" s="23"/>
      <x:c r="K32" s="19" t="str">
        <x:v>Eligibility unverified</x:v>
      </x:c>
      <x:c r="L32" s="19" t="str">
        <x:v>Current application and renewal fees waived indefinitely. Ownership/control and program eligibility still must be established. Certification not yet claimed.</x:v>
      </x:c>
      <x:c r="M32" s="19" t="str">
        <x:v>https://omwbe.wa.gov/certification/certification-fees</x:v>
      </x:c>
    </x:row>
    <x:row r="33" ht="100" customHeight="1">
      <x:c r="A33" s="19" t="n">
        <x:v>27</x:v>
      </x:c>
      <x:c r="B33" s="19" t="str">
        <x:v>SBA WOSB / EDWOSB</x:v>
      </x:c>
      <x:c r="C33" s="19" t="str">
        <x:v>Free</x:v>
      </x:c>
      <x:c r="D33" s="19" t="str">
        <x:v>If eligible</x:v>
      </x:c>
      <x:c r="E33" s="20" t="n">
        <x:v>0</x:v>
      </x:c>
      <x:c r="F33" s="20" t="n">
        <x:v>0</x:v>
      </x:c>
      <x:c r="G33" s="21" t="n">
        <x:v>0</x:v>
      </x:c>
      <x:c r="H33" s="22" t="n">
        <x:f>IF(G33=0,0,IF(ISNUMBER(E33),E33,"Unpriced"))</x:f>
        <x:v>0</x:v>
      </x:c>
      <x:c r="I33" s="22" t="n">
        <x:f>IF(G33=0,0,IF(ISNUMBER(F33),F33,"Unpriced"))</x:f>
        <x:v>0</x:v>
      </x:c>
      <x:c r="J33" s="23"/>
      <x:c r="K33" s="19" t="str">
        <x:v>Direct SBA route</x:v>
      </x:c>
      <x:c r="L33" s="19" t="str">
        <x:v>Direct SBA certification free. Optional third-party certification may charge; not needed for direct route. Citizenship/ownership/size and EDWOSB finances must be verified.</x:v>
      </x:c>
      <x:c r="M33" s="19" t="str">
        <x:v>https://www.sba.gov/certifications/</x:v>
      </x:c>
    </x:row>
    <x:row r="34" ht="100" customHeight="1">
      <x:c r="A34" s="19" t="n">
        <x:v>28</x:v>
      </x:c>
      <x:c r="B34" s="19" t="str">
        <x:v>SBDC and Business Impact NW coaching</x:v>
      </x:c>
      <x:c r="C34" s="19" t="str">
        <x:v>Free</x:v>
      </x:c>
      <x:c r="D34" s="19" t="str">
        <x:v>Current programs</x:v>
      </x:c>
      <x:c r="E34" s="20" t="n">
        <x:v>0</x:v>
      </x:c>
      <x:c r="F34" s="20" t="n">
        <x:v>0</x:v>
      </x:c>
      <x:c r="G34" s="21" t="n">
        <x:v>0</x:v>
      </x:c>
      <x:c r="H34" s="22" t="n">
        <x:f>IF(G34=0,0,IF(ISNUMBER(E34),E34,"Unpriced"))</x:f>
        <x:v>0</x:v>
      </x:c>
      <x:c r="I34" s="22" t="n">
        <x:f>IF(G34=0,0,IF(ISNUMBER(F34),F34,"Unpriced"))</x:f>
        <x:v>0</x:v>
      </x:c>
      <x:c r="J34" s="23"/>
      <x:c r="K34" s="19" t="str">
        <x:v>Advising free</x:v>
      </x:c>
      <x:c r="L34" s="19" t="str">
        <x:v>No-cost SBDC advising and free BINW one-to-one coaching. Individual courses can have separate fees; no paid class enrollment assumed.</x:v>
      </x:c>
      <x:c r="M34" s="19" t="str">
        <x:v>https://wsbdc.org/sbdc-services/ ; https://businessimpactnw.org/grow-your-business/coaching/</x:v>
      </x:c>
    </x:row>
    <x:row r="35" ht="100" customHeight="1">
      <x:c r="A35" s="19" t="n">
        <x:v>29</x:v>
      </x:c>
      <x:c r="B35" s="19" t="str">
        <x:v>L&amp;I, UI, PFML and WA Cares</x:v>
      </x:c>
      <x:c r="C35" s="19" t="str">
        <x:v>Conditional</x:v>
      </x:c>
      <x:c r="D35" s="19" t="str">
        <x:v>Before covered workers</x:v>
      </x:c>
      <x:c r="E35" s="20"/>
      <x:c r="F35" s="20"/>
      <x:c r="G35" s="21" t="n">
        <x:v>0</x:v>
      </x:c>
      <x:c r="H35" s="22" t="n">
        <x:f>IF(G35=0,0,IF(ISNUMBER(E35),E35,"Unpriced"))</x:f>
        <x:v>0</x:v>
      </x:c>
      <x:c r="I35" s="22" t="n">
        <x:f>IF(G35=0,0,IF(ISNUMBER(F35),F35,"Unpriced"))</x:f>
        <x:v>0</x:v>
      </x:c>
      <x:c r="J35" s="23"/>
      <x:c r="K35" s="19" t="str">
        <x:v>Workforce dependent</x:v>
      </x:c>
      <x:c r="L35" s="19" t="str">
        <x:v>Sole owner generally exempt from owner workers comp. Employees and some contractors trigger coverage, wage reporting and premiums/taxes. No payroll supplied; not priced at $0 for hiring.</x:v>
      </x:c>
      <x:c r="M35" s="19" t="str">
        <x:v>https://www.lni.wa.gov/agency/small-business/common-small-business-questions ; https://esd.wa.gov/employer-requirements/quarterly-reports/how-file-your-quarterly-tax-and-wage-reports</x:v>
      </x:c>
    </x:row>
    <x:row r="36" ht="100" customHeight="1">
      <x:c r="A36" s="19" t="n">
        <x:v>30</x:v>
      </x:c>
      <x:c r="B36" s="19" t="str">
        <x:v>School/bank/privacy and regulated-product requirements</x:v>
      </x:c>
      <x:c r="C36" s="19" t="str">
        <x:v>Conditional</x:v>
      </x:c>
      <x:c r="D36" s="19" t="str">
        <x:v>Before applicable pilot</x:v>
      </x:c>
      <x:c r="E36" s="20"/>
      <x:c r="F36" s="20"/>
      <x:c r="G36" s="21" t="n">
        <x:v>0</x:v>
      </x:c>
      <x:c r="H36" s="22" t="n">
        <x:f>IF(G36=0,0,IF(ISNUMBER(E36),E36,"Unpriced"))</x:f>
        <x:v>0</x:v>
      </x:c>
      <x:c r="I36" s="22" t="n">
        <x:f>IF(G36=0,0,IF(ISNUMBER(F36),F36,"Unpriced"))</x:f>
        <x:v>0</x:v>
      </x:c>
      <x:c r="J36" s="23"/>
      <x:c r="K36" s="19" t="str">
        <x:v>Scope / buyer dependent</x:v>
      </x:c>
      <x:c r="L36" s="19" t="str">
        <x:v>FERPA/COPPA/HIPAA, DPA/BAA, SOC 2, ISO 27001, procurement and product-safety duties depend on actual activity. No universal government certification package. No student/bank/health data pilot assumed. Hardware/manufacturing/specialty permits need separate product budget.</x:v>
      </x:c>
      <x:c r="M36" s="19" t="str">
        <x:v>https://studentprivacy.ed.gov/faq/must-school-have-written-agreement-or-contract-community-based-organization-which-it-non ; https://www.hhs.gov/hipaa/for-professionals/faq/are-we-required-to-certify-our-organizations-compliance-with-the-standards/index.html</x:v>
      </x:c>
    </x:row>
    <x:row r="37" ht="100" customHeight="1">
      <x:c r="A37" s="19" t="n">
        <x:v>31</x:v>
      </x:c>
      <x:c r="B37" s="19" t="str">
        <x:v>USPTO trademark application</x:v>
      </x:c>
      <x:c r="C37" s="19" t="str">
        <x:v>Optional</x:v>
      </x:c>
      <x:c r="D37" s="19" t="str">
        <x:v>After clearance</x:v>
      </x:c>
      <x:c r="E37" s="20" t="n">
        <x:v>350</x:v>
      </x:c>
      <x:c r="F37" s="20" t="n">
        <x:v>350</x:v>
      </x:c>
      <x:c r="G37" s="21" t="n">
        <x:v>0</x:v>
      </x:c>
      <x:c r="H37" s="22" t="n">
        <x:f>IF(G37=0,0,IF(ISNUMBER(E37),E37,"Unpriced"))</x:f>
        <x:v>0</x:v>
      </x:c>
      <x:c r="I37" s="22" t="n">
        <x:f>IF(G37=0,0,IF(ISNUMBER(F37),F37,"Unpriced"))</x:f>
        <x:v>0</x:v>
      </x:c>
      <x:c r="J37" s="23"/>
      <x:c r="K37" s="19" t="str">
        <x:v>Per mark per class</x:v>
      </x:c>
      <x:c r="L37" s="19" t="str">
        <x:v>Base $350 per class if requirements met. Additional, intent-to-use, legal and future maintenance fees extra. Application is not guaranteed registration; not mandatory to open business.</x:v>
      </x:c>
      <x:c r="M37" s="19" t="str">
        <x:v>https://www.uspto.gov/trademarks/trademark-fee-information</x:v>
      </x:c>
    </x:row>
    <x:row r="38" ht="100" customHeight="1">
      <x:c r="A38" s="19" t="n">
        <x:v>32</x:v>
      </x:c>
      <x:c r="B38" s="19" t="str">
        <x:v>Provisional patent application</x:v>
      </x:c>
      <x:c r="C38" s="19" t="str">
        <x:v>Optional</x:v>
      </x:c>
      <x:c r="D38" s="19" t="str">
        <x:v>After invention review</x:v>
      </x:c>
      <x:c r="E38" s="20" t="n">
        <x:v>65</x:v>
      </x:c>
      <x:c r="F38" s="20" t="n">
        <x:v>325</x:v>
      </x:c>
      <x:c r="G38" s="21" t="n">
        <x:v>0</x:v>
      </x:c>
      <x:c r="H38" s="22" t="n">
        <x:f>IF(G38=0,0,IF(ISNUMBER(E38),E38,"Unpriced"))</x:f>
        <x:v>0</x:v>
      </x:c>
      <x:c r="I38" s="22" t="n">
        <x:f>IF(G38=0,0,IF(ISNUMBER(F38),F38,"Unpriced"))</x:f>
        <x:v>0</x:v>
      </x:c>
      <x:c r="J38" s="23"/>
      <x:c r="K38" s="19" t="str">
        <x:v>Entity eligibility needed</x:v>
      </x:c>
      <x:c r="L38" s="19" t="str">
        <x:v>Government filing only: micro $65, small $130, standard $325. Eligibility, drafting, prior art and later nonprovisional costs separate. No patent granted by provisional. No mass filing of all concepts.</x:v>
      </x:c>
      <x:c r="M38" s="19" t="str">
        <x:v>https://www.uspto.gov/learning-and-resources/fees-and-payment/uspto-fee-schedule</x:v>
      </x:c>
    </x:row>
    <x:row r="39" ht="100" customHeight="1">
      <x:c r="A39" s="19" t="n">
        <x:v>33</x:v>
      </x:c>
      <x:c r="B39" s="19" t="str">
        <x:v>WA, Seattle and federal taxes</x:v>
      </x:c>
      <x:c r="C39" s="19" t="str">
        <x:v>Conditional</x:v>
      </x:c>
      <x:c r="D39" s="19" t="str">
        <x:v>As activity requires</x:v>
      </x:c>
      <x:c r="E39" s="20"/>
      <x:c r="F39" s="20"/>
      <x:c r="G39" s="21" t="n">
        <x:v>0</x:v>
      </x:c>
      <x:c r="H39" s="22" t="n">
        <x:f>IF(G39=0,0,IF(ISNUMBER(E39),E39,"Unpriced"))</x:f>
        <x:v>0</x:v>
      </x:c>
      <x:c r="I39" s="22" t="n">
        <x:f>IF(G39=0,0,IF(ISNUMBER(F39),F39,"Unpriced"))</x:f>
        <x:v>0</x:v>
      </x:c>
      <x:c r="J39" s="23"/>
      <x:c r="K39" s="19" t="str">
        <x:v>Not a fixed startup fee</x:v>
      </x:c>
      <x:c r="L39" s="19" t="str">
        <x:v>Sales tax sourced/classified per sale, WA B&amp;O may apply on gross receipts, Seattle 2026 threshold $2m but reporting still required, federal income/SE taxes depend on facts. Arrears/penalties not determined. No amount owed asserted.</x:v>
      </x:c>
      <x:c r="M39" s="19" t="str">
        <x:v>https://dor.wa.gov/taxes-rates/information-technology-services ; https://seattle.gov/city-finance/business-taxes-and-licenses/business-taxes ; https://www.irs.gov/businesses/small-businesses-self-employed/self-employment-tax-social-security-and-medicare-taxes</x:v>
      </x:c>
    </x:row>
    <x:row r="40">
      <x:c r="A40" s="1"/>
      <x:c r="B40" s="1"/>
      <x:c r="C40" s="1"/>
      <x:c r="D40" s="1"/>
      <x:c r="E40" s="1"/>
      <x:c r="F40" s="1"/>
      <x:c r="G40" s="1"/>
      <x:c r="H40" s="8"/>
      <x:c r="I40" s="8"/>
      <x:c r="J40" s="1"/>
      <x:c r="K40" s="1"/>
      <x:c r="L40" s="1"/>
      <x:c r="M40" s="1"/>
    </x:row>
    <x:row r="41">
      <x:c r="A41" s="1"/>
      <x:c r="B41" s="1"/>
      <x:c r="C41" s="1"/>
      <x:c r="D41" s="1"/>
      <x:c r="E41" s="1"/>
      <x:c r="F41" s="1"/>
      <x:c r="G41" s="1"/>
      <x:c r="H41" s="8"/>
      <x:c r="I41" s="8"/>
      <x:c r="J41" s="1"/>
      <x:c r="K41" s="1"/>
      <x:c r="L41" s="1"/>
      <x:c r="M41" s="1"/>
    </x:row>
    <x:row r="42" ht="28" customHeight="1">
      <x:c r="A42" s="1"/>
      <x:c r="B42" s="10" t="str">
        <x:v>Government opening fees</x:v>
      </x:c>
      <x:c r="C42" s="10"/>
      <x:c r="D42" s="10"/>
      <x:c r="E42" s="10"/>
      <x:c r="F42" s="10"/>
      <x:c r="G42" s="10"/>
      <x:c r="H42" s="11" t="n">
        <x:f>IF(COUNTIFS($C$7:$C$39,"Government",H7:H39,"Unpriced")&gt;0,"Unpriced",SUMIFS(H7:H39,$C$7:$C$39,"Government"))</x:f>
        <x:v>91.5</x:v>
      </x:c>
      <x:c r="I42" s="11" t="n">
        <x:f>IF(COUNTIFS($C$7:$C$39,"Government",I7:I39,"Unpriced")&gt;0,"Unpriced",SUMIFS(I7:I39,$C$7:$C$39,"Government"))</x:f>
        <x:v>128</x:v>
      </x:c>
      <x:c r="J42" s="1"/>
      <x:c r="K42" s="1"/>
      <x:c r="L42" s="1"/>
      <x:c r="M42" s="1"/>
    </x:row>
    <x:row r="43" ht="28" customHeight="1">
      <x:c r="A43" s="1"/>
      <x:c r="B43" s="10" t="str">
        <x:v>Internal operating allowances</x:v>
      </x:c>
      <x:c r="C43" s="10"/>
      <x:c r="D43" s="10"/>
      <x:c r="E43" s="10"/>
      <x:c r="F43" s="10"/>
      <x:c r="G43" s="10"/>
      <x:c r="H43" s="11" t="n">
        <x:f>IF(COUNTIFS($C$7:$C$39,"Reserve",H7:H39,"Unpriced")&gt;0,"Unpriced",SUMIFS(H7:H39,$C$7:$C$39,"Reserve"))</x:f>
        <x:v>2860</x:v>
      </x:c>
      <x:c r="I43" s="11" t="n">
        <x:f>IF(COUNTIFS($C$7:$C$39,"Reserve",I7:I39,"Unpriced")&gt;0,"Unpriced",SUMIFS(I7:I39,$C$7:$C$39,"Reserve"))</x:f>
        <x:v>9800</x:v>
      </x:c>
      <x:c r="J43" s="1"/>
      <x:c r="K43" s="1"/>
      <x:c r="L43" s="1"/>
      <x:c r="M43" s="1"/>
    </x:row>
    <x:row r="44" ht="28" customHeight="1">
      <x:c r="A44" s="1"/>
      <x:c r="B44" s="10" t="str">
        <x:v>Defined budget subtotal</x:v>
      </x:c>
      <x:c r="C44" s="10"/>
      <x:c r="D44" s="10"/>
      <x:c r="E44" s="10"/>
      <x:c r="F44" s="10"/>
      <x:c r="G44" s="10"/>
      <x:c r="H44" s="11" t="n">
        <x:f>IF(COUNTIFS(H7:H39,"Unpriced")&gt;0,"Unpriced",SUM(H7:H39))</x:f>
        <x:v>2951.5</x:v>
      </x:c>
      <x:c r="I44" s="11" t="n">
        <x:f>IF(COUNTIFS(I7:I39,"Unpriced")&gt;0,"Unpriced",SUM(I7:I39))</x:f>
        <x:v>9928</x:v>
      </x:c>
      <x:c r="J44" s="1"/>
      <x:c r="K44" s="1"/>
      <x:c r="L44" s="1"/>
      <x:c r="M44" s="1"/>
    </x:row>
    <x:row r="45" ht="28" customHeight="1">
      <x:c r="A45" s="1"/>
      <x:c r="B45" s="10" t="str">
        <x:v>Defined budget plus online LLC</x:v>
      </x:c>
      <x:c r="C45" s="10"/>
      <x:c r="D45" s="10"/>
      <x:c r="E45" s="10"/>
      <x:c r="F45" s="10"/>
      <x:c r="G45" s="10"/>
      <x:c r="H45" s="11" t="n">
        <x:f>IF(ISNUMBER(H44),H44+E14,"Unpriced")</x:f>
        <x:v>3151.5</x:v>
      </x:c>
      <x:c r="I45" s="11" t="n">
        <x:f>IF(ISNUMBER(I44),I44+F14,"Unpriced")</x:f>
        <x:v>10128</x:v>
      </x:c>
      <x:c r="J45" s="1"/>
      <x:c r="K45" s="1"/>
      <x:c r="L45" s="1"/>
      <x:c r="M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</x:row>
    <x:row r="47" ht="36" customHeight="1">
      <x:c r="A47" s="1"/>
      <x:c r="B47" s="3" t="str">
        <x:v>No numeric full-compliance total: unknown exclusions remain. Do not treat subtotal as an invoice or a legal clearance.</x:v>
      </x:c>
      <x:c r="C47" s="3"/>
      <x:c r="D47" s="3"/>
      <x:c r="E47" s="3"/>
      <x:c r="F47" s="3"/>
      <x:c r="G47" s="3"/>
      <x:c r="H47" s="3"/>
      <x:c r="I47" s="3"/>
      <x:c r="J47" s="1"/>
      <x:c r="K47" s="1"/>
      <x:c r="L47" s="1"/>
      <x:c r="M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</x:row>
  </x:sheetData>
  <x:mergeCells>
    <x:mergeCell ref="A3:I3"/>
    <x:mergeCell ref="A4:I4"/>
    <x:mergeCell ref="B47:I47"/>
  </x:mergeCells>
  <x:conditionalFormatting sqref="H7:I39">
    <x:cfRule type="containsText" dxfId="0" priority="1" operator="containsText" text="Unpriced"/>
  </x:conditionalFormatting>
  <x:dataValidations count="1">
    <x:dataValidation type="list" sqref="G7:G39">
      <x:formula1>"0,1"</x:formula1>
    </x:dataValidation>
  </x:dataValidations>
  <x:pageMargins left="0.7" right="0.7" top="0.75" bottom="0.75" header="0.3" footer="0.3"/>
</x:worksheet>
</file>